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Performance" sheetId="1" state="visible" r:id="rId3"/>
    <sheet name="Service 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<sst xmlns="http://schemas.openxmlformats.org/spreadsheetml/2006/main" count="115" uniqueCount="85">
  <si>
    <t xml:space="preserve">Maine Academy of Gymnastics</t>
  </si>
  <si>
    <t xml:space="preserve">Service Line Performance — 2023 / 2024 / 2025</t>
  </si>
  <si>
    <t xml:space="preserve">BASIS: Jackrabbit Class/Event Revenue Summary. Revenue and enrolments come from the SAME report, so revenue per enrolment is internally consistent.</t>
  </si>
  <si>
    <t xml:space="preserve">2023 is populated and reconciles to $1,996,290.52. 2024 and 2025 need the same report exported before they can be filled.</t>
  </si>
  <si>
    <t xml:space="preserve">2023</t>
  </si>
  <si>
    <t xml:space="preserve">2024</t>
  </si>
  <si>
    <t xml:space="preserve">2025</t>
  </si>
  <si>
    <t xml:space="preserve">Enrolments / Bookings</t>
  </si>
  <si>
    <t xml:space="preserve">Revenue per Enrolment</t>
  </si>
  <si>
    <t xml:space="preserve">Total Revenue</t>
  </si>
  <si>
    <t xml:space="preserve">Cost of Sales (as a % of Revenue)</t>
  </si>
  <si>
    <t xml:space="preserve">Gross Profit</t>
  </si>
  <si>
    <t xml:space="preserve">Gross Profit (as a % of Revenue)</t>
  </si>
  <si>
    <t xml:space="preserve">Product/Service</t>
  </si>
  <si>
    <t xml:space="preserve"># Enrolments / Bookings</t>
  </si>
  <si>
    <t xml:space="preserve">Total Cost of Sales</t>
  </si>
  <si>
    <t xml:space="preserve">Cost of Sales %</t>
  </si>
  <si>
    <t xml:space="preserve">Total Gross Profit</t>
  </si>
  <si>
    <t xml:space="preserve">Recreational -- Girls Wings</t>
  </si>
  <si>
    <t xml:space="preserve">Competitive -- Team</t>
  </si>
  <si>
    <t xml:space="preserve">Recreational -- Preschool (The Jungle)</t>
  </si>
  <si>
    <t xml:space="preserve">Recreational -- Boys Wings</t>
  </si>
  <si>
    <t xml:space="preserve">Recreational -- Tumbling</t>
  </si>
  <si>
    <t xml:space="preserve">Ancillary -- Open Gym</t>
  </si>
  <si>
    <t xml:space="preserve">Ancillary -- Birthday Parties</t>
  </si>
  <si>
    <t xml:space="preserve">Competitive -- Pre-Team</t>
  </si>
  <si>
    <t xml:space="preserve">Ancillary -- Private Lessons</t>
  </si>
  <si>
    <t xml:space="preserve">Unattributed -- No Class/Event Name</t>
  </si>
  <si>
    <t xml:space="preserve">TOTAL — All Services</t>
  </si>
  <si>
    <t xml:space="preserve">RECONCILIATION</t>
  </si>
  <si>
    <t xml:space="preserve">Report stated total (2023)</t>
  </si>
  <si>
    <t xml:space="preserve">Variance (must be zero)</t>
  </si>
  <si>
    <t xml:space="preserve">HOW TO USE THIS SHEET</t>
  </si>
  <si>
    <t xml:space="preserve">Fill the BLUE cells: # Enrolments / Bookings, Total Revenue, and Cost of Sales %. Both enrolments and revenue come</t>
  </si>
  <si>
    <t xml:space="preserve">from the same Class/Event Revenue Summary export, so they stay on one basis.</t>
  </si>
  <si>
    <t xml:space="preserve">Revenue per Enrolment, Total Cost of Sales and Total Gross Profit all calculate.</t>
  </si>
  <si>
    <t xml:space="preserve">WHEN EXPORTING THE 2024 AND 2025 REPORTS — de-duplicate before summing enrolments.</t>
  </si>
  <si>
    <t xml:space="preserve">The report splits some classes across multiple revenue rows and REPEATS the enrolment figure on each. In 2023 a naive</t>
  </si>
  <si>
    <t xml:space="preserve">sum gave 10,691 against a true 8,160. De-duplicate on Class + Session + Cat3, then sum. Revenue sums across all rows.</t>
  </si>
  <si>
    <t xml:space="preserve">Cost of Sales is not in Jackrabbit. It is coach labour: hourly rate x class hours, built from payroll.</t>
  </si>
  <si>
    <t xml:space="preserve">Two rows will not carry a unit count: Private Lessons is not enrolment-tracked, and Unattributed has no class.</t>
  </si>
  <si>
    <t xml:space="preserve">Leave those enrolment cells blank rather than entering zero — Revenue per Enrolment will show as a dash.</t>
  </si>
  <si>
    <t xml:space="preserve">See the 'Service Definitions' tab for what each row contains and how enrolment is counted for it.</t>
  </si>
  <si>
    <t xml:space="preserve">Service Definitions</t>
  </si>
  <si>
    <t xml:space="preserve">Rows are built from Category 1 / Category 2 in the Class/Event Revenue Summary. What 'enrolment' counts differs by service — read the third column.</t>
  </si>
  <si>
    <t xml:space="preserve">Service Row</t>
  </si>
  <si>
    <t xml:space="preserve">Jackrabbit source</t>
  </si>
  <si>
    <t xml:space="preserve">What one 'enrolment' is</t>
  </si>
  <si>
    <t xml:space="preserve">2023 actuals &amp; notes</t>
  </si>
  <si>
    <t xml:space="preserve">Cat1 Recreational + Cat2 Rec Girls</t>
  </si>
  <si>
    <t xml:space="preserve">One girl enrolled in one class for one session. A student in two classes counts twice.</t>
  </si>
  <si>
    <t xml:space="preserve">2,090 enrolments · $764,230 · $366 each. 163 class records. 38% of revenue — the largest line.</t>
  </si>
  <si>
    <t xml:space="preserve">Cat1 Team</t>
  </si>
  <si>
    <t xml:space="preserve">One athlete in one team activity. Includes both billing groups and meet entries, so it double-counts athletes.</t>
  </si>
  <si>
    <t xml:space="preserve">1,792 enrolments · $486,969 · $272 each. Meet entries inflate the count — see the Team split in the 2023 workbook.</t>
  </si>
  <si>
    <t xml:space="preserve">Cat1 Recreational + Cat2 Pre-School or Parent-Child</t>
  </si>
  <si>
    <t xml:space="preserve">One child in one preschool class for one session.</t>
  </si>
  <si>
    <t xml:space="preserve">1,151 enrolments · $352,972 · $307 each. Parent-Child (First Flight) is 535 of those.</t>
  </si>
  <si>
    <t xml:space="preserve">Cat1 Recreational + Cat2 Rec Boys</t>
  </si>
  <si>
    <t xml:space="preserve">One boy in one class for one session.</t>
  </si>
  <si>
    <t xml:space="preserve">277 enrolments · $88,196 · $318 each. Only 21 class records. Flat for three years and 51.6% fill.</t>
  </si>
  <si>
    <t xml:space="preserve">Cat1 Recreational + Cat2 Tumble (Combined)</t>
  </si>
  <si>
    <t xml:space="preserve">One student in one tumbling class for one session.</t>
  </si>
  <si>
    <t xml:space="preserve">332 enrolments · $85,200 · $257 each. Cheapest per enrolment of the rec lines.</t>
  </si>
  <si>
    <t xml:space="preserve">Cat1 Open Gym</t>
  </si>
  <si>
    <t xml:space="preserve">One session booking — genuinely transaction-like, unlike the class rows.</t>
  </si>
  <si>
    <t xml:space="preserve">2,364 bookings · $29,710 · $12.57 each. Highest unit count, lowest unit value.</t>
  </si>
  <si>
    <t xml:space="preserve">Cat1 Birthday Parties</t>
  </si>
  <si>
    <t xml:space="preserve">One party booked.</t>
  </si>
  <si>
    <t xml:space="preserve">112 parties · $29,237 · $261 each. Wound down to zero by 2025 — see drift notes.</t>
  </si>
  <si>
    <t xml:space="preserve">Cat1 Recreational + Cat2 Pre-Team (Invite Only)</t>
  </si>
  <si>
    <t xml:space="preserve">One athlete in one pre-team class.</t>
  </si>
  <si>
    <t xml:space="preserve">41 enrolments · $26,523 · $647 each — the highest unit value in the business. Cat2 exists in 2023 only.</t>
  </si>
  <si>
    <t xml:space="preserve">Cat1 Private Lessons</t>
  </si>
  <si>
    <t xml:space="preserve">NOT TRACKED. The report returns zero enrolment against real revenue.</t>
  </si>
  <si>
    <t xml:space="preserve">0 enrolments · $3,091. Leave the unit cell blank. Growing fast: $3,816 (2023) to $8,318 (2025) on the other basis.</t>
  </si>
  <si>
    <t xml:space="preserve">Blank Cat1, 'No Class/Event Name'</t>
  </si>
  <si>
    <t xml:space="preserve">No unit. Not attributable to any class.</t>
  </si>
  <si>
    <t xml:space="preserve">$130,163 · 6.5% of revenue. Contains membership fees, pro shop and other non-class items. Needs investigation.</t>
  </si>
  <si>
    <t xml:space="preserve">Why enrolments rather than transactions</t>
  </si>
  <si>
    <t xml:space="preserve">A transaction count would mostly measure billing cadence. A student enrolled for ten months generates ten monthly</t>
  </si>
  <si>
    <t xml:space="preserve">charges but one enrolment, and the ten says nothing about demand or retention. Enrolments answer 'how many did we</t>
  </si>
  <si>
    <t xml:space="preserve">sell', which is what the sheet is for. The Jackrabbit Revenue Summary reports leave the Enrollment column at zero,</t>
  </si>
  <si>
    <t xml:space="preserve">so this Class/Event report is the only place the counts exist.</t>
  </si>
  <si>
    <t xml:space="preserve">Source: Jackrabbit Class/Event Revenue Summary, 1/1/2023 - 12/31/2023. Reconciles to $1,996,290.52 with zero variance.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</si>
</sst>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\$#,##0.00;&quot;($&quot;#,##0.00\);\-"/>
    <numFmt numFmtId="168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C9D1E0"/>
      <name val="Arial"/>
      <family val="0"/>
      <charset val="1"/>
    </font>
    <font>
      <i val="true"/>
      <sz val="9"/>
      <color rgb="FFC9D1E0"/>
      <name val="Arial"/>
      <family val="0"/>
      <charset val="1"/>
    </font>
    <font>
      <b val="true"/>
      <sz val="9"/>
      <color rgb="FFFFD4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D479"/>
      <name val="Arial"/>
      <family val="0"/>
      <charset val="1"/>
    </font>
    <font>
      <i val="true"/>
      <sz val="10"/>
      <color rgb="FFC9D1E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FFD4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DCE3F2"/>
      </patternFill>
    </fill>
    <fill>
      <patternFill patternType="solid">
        <fgColor rgb="FFD6DEF5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E8D9F5"/>
        <bgColor rgb="FFDCE3F2"/>
      </patternFill>
    </fill>
    <fill>
      <patternFill patternType="solid">
        <fgColor rgb="FFB9C4DC"/>
        <bgColor rgb="FFC9D1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E8D9F5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CCFFCC"/>
      <rgbColor rgb="FFFFFF99"/>
      <rgbColor rgb="FF99CCFF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20" min="3" style="0" width="13"/>
  </cols>
  <sheetData>
    <row r="1" customFormat="false" ht="19.7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4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5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5" hidden="false" customHeight="false" outlineLevel="0" collapsed="false">
      <c r="A6" s="1"/>
      <c r="B6" s="1"/>
      <c r="C6" s="6" t="s">
        <v>4</v>
      </c>
      <c r="D6" s="6" t="s">
        <v>5</v>
      </c>
      <c r="E6" s="6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5" hidden="false" customHeight="false" outlineLevel="0" collapsed="false">
      <c r="A7" s="1"/>
      <c r="B7" s="7" t="s">
        <v>7</v>
      </c>
      <c r="C7" s="8" t="n">
        <f aca="false">C26</f>
        <v>8159</v>
      </c>
      <c r="D7" s="8" t="n">
        <f aca="false">D26</f>
        <v>0</v>
      </c>
      <c r="E7" s="8" t="n">
        <f aca="false">E26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15" hidden="false" customHeight="false" outlineLevel="0" collapsed="false">
      <c r="A8" s="1"/>
      <c r="B8" s="7" t="s">
        <v>8</v>
      </c>
      <c r="C8" s="9" t="n">
        <f aca="false">IFERROR(I26/C26,0)</f>
        <v>244.673430567472</v>
      </c>
      <c r="D8" s="9" t="n">
        <f aca="false">IFERROR(J26/D26,0)</f>
        <v>0</v>
      </c>
      <c r="E8" s="9" t="n">
        <f aca="false">IFERROR(K26/E26,0)</f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5" hidden="false" customHeight="false" outlineLevel="0" collapsed="false">
      <c r="A9" s="1"/>
      <c r="B9" s="7" t="s">
        <v>9</v>
      </c>
      <c r="C9" s="10" t="n">
        <f aca="false">I26</f>
        <v>1996290.52</v>
      </c>
      <c r="D9" s="10" t="n">
        <f aca="false">J26</f>
        <v>0</v>
      </c>
      <c r="E9" s="10" t="n">
        <f aca="false">K26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15" hidden="false" customHeight="false" outlineLevel="0" collapsed="false">
      <c r="A11" s="1"/>
      <c r="B11" s="7" t="s">
        <v>10</v>
      </c>
      <c r="C11" s="11" t="n">
        <f aca="false">IFERROR(L26/I26,0)</f>
        <v>0</v>
      </c>
      <c r="D11" s="11" t="n">
        <f aca="false">IFERROR(M26/J26,0)</f>
        <v>0</v>
      </c>
      <c r="E11" s="11" t="n">
        <f aca="false">IFERROR(N26/K26,0)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15" hidden="false" customHeight="false" outlineLevel="0" collapsed="false">
      <c r="A12" s="1"/>
      <c r="B12" s="7" t="s">
        <v>11</v>
      </c>
      <c r="C12" s="10" t="n">
        <f aca="false">R26</f>
        <v>1996290.52</v>
      </c>
      <c r="D12" s="10" t="n">
        <f aca="false">S26</f>
        <v>0</v>
      </c>
      <c r="E12" s="10" t="n">
        <f aca="false">T26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15" hidden="false" customHeight="false" outlineLevel="0" collapsed="false">
      <c r="A13" s="1"/>
      <c r="B13" s="7" t="s">
        <v>12</v>
      </c>
      <c r="C13" s="11" t="n">
        <f aca="false">IFERROR(R26/I26,0)</f>
        <v>1</v>
      </c>
      <c r="D13" s="11" t="n">
        <f aca="false">IFERROR(S26/J26,0)</f>
        <v>0</v>
      </c>
      <c r="E13" s="11" t="n">
        <f aca="false">IFERROR(T26/K26,0)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15" hidden="false" customHeight="true" outlineLevel="0" collapsed="false">
      <c r="A14" s="1"/>
      <c r="B14" s="12" t="s">
        <v>13</v>
      </c>
      <c r="C14" s="12" t="s">
        <v>14</v>
      </c>
      <c r="D14" s="12"/>
      <c r="E14" s="12"/>
      <c r="F14" s="12" t="s">
        <v>8</v>
      </c>
      <c r="G14" s="12"/>
      <c r="H14" s="12"/>
      <c r="I14" s="12" t="s">
        <v>9</v>
      </c>
      <c r="J14" s="12"/>
      <c r="K14" s="12"/>
      <c r="L14" s="12" t="s">
        <v>15</v>
      </c>
      <c r="M14" s="12"/>
      <c r="N14" s="12"/>
      <c r="O14" s="12" t="s">
        <v>16</v>
      </c>
      <c r="P14" s="12"/>
      <c r="Q14" s="12"/>
      <c r="R14" s="12" t="s">
        <v>17</v>
      </c>
      <c r="S14" s="12"/>
      <c r="T14" s="12"/>
      <c r="U14" s="1"/>
      <c r="V14" s="1"/>
    </row>
    <row r="15" customFormat="false" ht="15" hidden="false" customHeight="false" outlineLevel="0" collapsed="false">
      <c r="A15" s="1"/>
      <c r="B15" s="12"/>
      <c r="C15" s="6" t="s">
        <v>4</v>
      </c>
      <c r="D15" s="6" t="s">
        <v>5</v>
      </c>
      <c r="E15" s="6" t="s">
        <v>6</v>
      </c>
      <c r="F15" s="6" t="s">
        <v>4</v>
      </c>
      <c r="G15" s="6" t="s">
        <v>5</v>
      </c>
      <c r="H15" s="6" t="s">
        <v>6</v>
      </c>
      <c r="I15" s="6" t="s">
        <v>4</v>
      </c>
      <c r="J15" s="6" t="s">
        <v>5</v>
      </c>
      <c r="K15" s="6" t="s">
        <v>6</v>
      </c>
      <c r="L15" s="6" t="s">
        <v>4</v>
      </c>
      <c r="M15" s="6" t="s">
        <v>5</v>
      </c>
      <c r="N15" s="6" t="s">
        <v>6</v>
      </c>
      <c r="O15" s="6" t="s">
        <v>4</v>
      </c>
      <c r="P15" s="6" t="s">
        <v>5</v>
      </c>
      <c r="Q15" s="6" t="s">
        <v>6</v>
      </c>
      <c r="R15" s="6" t="s">
        <v>4</v>
      </c>
      <c r="S15" s="6" t="s">
        <v>5</v>
      </c>
      <c r="T15" s="6" t="s">
        <v>6</v>
      </c>
      <c r="U15" s="1"/>
      <c r="V15" s="1"/>
    </row>
    <row r="16" customFormat="false" ht="15" hidden="false" customHeight="false" outlineLevel="0" collapsed="false">
      <c r="A16" s="1"/>
      <c r="B16" s="13" t="s">
        <v>18</v>
      </c>
      <c r="C16" s="14" t="n">
        <v>2090</v>
      </c>
      <c r="D16" s="14"/>
      <c r="E16" s="14"/>
      <c r="F16" s="15" t="n">
        <f aca="false">IFERROR(I16/C16,0)</f>
        <v>365.660148325359</v>
      </c>
      <c r="G16" s="15" t="n">
        <f aca="false">IFERROR(J16/D16,0)</f>
        <v>0</v>
      </c>
      <c r="H16" s="15" t="n">
        <f aca="false">IFERROR(K16/E16,0)</f>
        <v>0</v>
      </c>
      <c r="I16" s="16" t="n">
        <v>764229.71</v>
      </c>
      <c r="J16" s="16"/>
      <c r="K16" s="16"/>
      <c r="L16" s="17" t="n">
        <f aca="false">I16*O16</f>
        <v>0</v>
      </c>
      <c r="M16" s="17" t="n">
        <f aca="false">J16*P16</f>
        <v>0</v>
      </c>
      <c r="N16" s="17" t="n">
        <f aca="false">K16*Q16</f>
        <v>0</v>
      </c>
      <c r="O16" s="18"/>
      <c r="P16" s="18"/>
      <c r="Q16" s="18"/>
      <c r="R16" s="17" t="n">
        <f aca="false">I16-L16</f>
        <v>764229.71</v>
      </c>
      <c r="S16" s="17" t="n">
        <f aca="false">J16-M16</f>
        <v>0</v>
      </c>
      <c r="T16" s="17" t="n">
        <f aca="false">K16-N16</f>
        <v>0</v>
      </c>
      <c r="U16" s="1"/>
      <c r="V16" s="1"/>
    </row>
    <row r="17" customFormat="false" ht="15" hidden="false" customHeight="false" outlineLevel="0" collapsed="false">
      <c r="A17" s="1"/>
      <c r="B17" s="13" t="s">
        <v>19</v>
      </c>
      <c r="C17" s="14" t="n">
        <v>1792</v>
      </c>
      <c r="D17" s="14"/>
      <c r="E17" s="14"/>
      <c r="F17" s="15" t="n">
        <f aca="false">IFERROR(I17/C17,0)</f>
        <v>271.745904017857</v>
      </c>
      <c r="G17" s="15" t="n">
        <f aca="false">IFERROR(J17/D17,0)</f>
        <v>0</v>
      </c>
      <c r="H17" s="15" t="n">
        <f aca="false">IFERROR(K17/E17,0)</f>
        <v>0</v>
      </c>
      <c r="I17" s="16" t="n">
        <v>486968.66</v>
      </c>
      <c r="J17" s="16"/>
      <c r="K17" s="16"/>
      <c r="L17" s="17" t="n">
        <f aca="false">I17*O17</f>
        <v>0</v>
      </c>
      <c r="M17" s="17" t="n">
        <f aca="false">J17*P17</f>
        <v>0</v>
      </c>
      <c r="N17" s="17" t="n">
        <f aca="false">K17*Q17</f>
        <v>0</v>
      </c>
      <c r="O17" s="18"/>
      <c r="P17" s="18"/>
      <c r="Q17" s="18"/>
      <c r="R17" s="17" t="n">
        <f aca="false">I17-L17</f>
        <v>486968.66</v>
      </c>
      <c r="S17" s="17" t="n">
        <f aca="false">J17-M17</f>
        <v>0</v>
      </c>
      <c r="T17" s="17" t="n">
        <f aca="false">K17-N17</f>
        <v>0</v>
      </c>
      <c r="U17" s="1"/>
      <c r="V17" s="1"/>
    </row>
    <row r="18" customFormat="false" ht="15" hidden="false" customHeight="false" outlineLevel="0" collapsed="false">
      <c r="A18" s="1"/>
      <c r="B18" s="13" t="s">
        <v>20</v>
      </c>
      <c r="C18" s="14" t="n">
        <v>1151</v>
      </c>
      <c r="D18" s="14"/>
      <c r="E18" s="14"/>
      <c r="F18" s="15" t="n">
        <f aca="false">IFERROR(I18/C18,0)</f>
        <v>306.665629887055</v>
      </c>
      <c r="G18" s="15" t="n">
        <f aca="false">IFERROR(J18/D18,0)</f>
        <v>0</v>
      </c>
      <c r="H18" s="15" t="n">
        <f aca="false">IFERROR(K18/E18,0)</f>
        <v>0</v>
      </c>
      <c r="I18" s="16" t="n">
        <v>352972.14</v>
      </c>
      <c r="J18" s="16"/>
      <c r="K18" s="16"/>
      <c r="L18" s="17" t="n">
        <f aca="false">I18*O18</f>
        <v>0</v>
      </c>
      <c r="M18" s="17" t="n">
        <f aca="false">J18*P18</f>
        <v>0</v>
      </c>
      <c r="N18" s="17" t="n">
        <f aca="false">K18*Q18</f>
        <v>0</v>
      </c>
      <c r="O18" s="18"/>
      <c r="P18" s="18"/>
      <c r="Q18" s="18"/>
      <c r="R18" s="17" t="n">
        <f aca="false">I18-L18</f>
        <v>352972.14</v>
      </c>
      <c r="S18" s="17" t="n">
        <f aca="false">J18-M18</f>
        <v>0</v>
      </c>
      <c r="T18" s="17" t="n">
        <f aca="false">K18-N18</f>
        <v>0</v>
      </c>
      <c r="U18" s="1"/>
      <c r="V18" s="1"/>
    </row>
    <row r="19" customFormat="false" ht="15" hidden="false" customHeight="false" outlineLevel="0" collapsed="false">
      <c r="A19" s="1"/>
      <c r="B19" s="13" t="s">
        <v>21</v>
      </c>
      <c r="C19" s="14" t="n">
        <v>277</v>
      </c>
      <c r="D19" s="14"/>
      <c r="E19" s="14"/>
      <c r="F19" s="15" t="n">
        <f aca="false">IFERROR(I19/C19,0)</f>
        <v>318.39797833935</v>
      </c>
      <c r="G19" s="15" t="n">
        <f aca="false">IFERROR(J19/D19,0)</f>
        <v>0</v>
      </c>
      <c r="H19" s="15" t="n">
        <f aca="false">IFERROR(K19/E19,0)</f>
        <v>0</v>
      </c>
      <c r="I19" s="16" t="n">
        <v>88196.24</v>
      </c>
      <c r="J19" s="16"/>
      <c r="K19" s="16"/>
      <c r="L19" s="17" t="n">
        <f aca="false">I19*O19</f>
        <v>0</v>
      </c>
      <c r="M19" s="17" t="n">
        <f aca="false">J19*P19</f>
        <v>0</v>
      </c>
      <c r="N19" s="17" t="n">
        <f aca="false">K19*Q19</f>
        <v>0</v>
      </c>
      <c r="O19" s="18"/>
      <c r="P19" s="18"/>
      <c r="Q19" s="18"/>
      <c r="R19" s="17" t="n">
        <f aca="false">I19-L19</f>
        <v>88196.24</v>
      </c>
      <c r="S19" s="17" t="n">
        <f aca="false">J19-M19</f>
        <v>0</v>
      </c>
      <c r="T19" s="17" t="n">
        <f aca="false">K19-N19</f>
        <v>0</v>
      </c>
      <c r="U19" s="1"/>
      <c r="V19" s="1"/>
    </row>
    <row r="20" customFormat="false" ht="15" hidden="false" customHeight="false" outlineLevel="0" collapsed="false">
      <c r="A20" s="1"/>
      <c r="B20" s="13" t="s">
        <v>22</v>
      </c>
      <c r="C20" s="14" t="n">
        <v>332</v>
      </c>
      <c r="D20" s="14"/>
      <c r="E20" s="14"/>
      <c r="F20" s="15" t="n">
        <f aca="false">IFERROR(I20/C20,0)</f>
        <v>256.626174698795</v>
      </c>
      <c r="G20" s="15" t="n">
        <f aca="false">IFERROR(J20/D20,0)</f>
        <v>0</v>
      </c>
      <c r="H20" s="15" t="n">
        <f aca="false">IFERROR(K20/E20,0)</f>
        <v>0</v>
      </c>
      <c r="I20" s="16" t="n">
        <v>85199.89</v>
      </c>
      <c r="J20" s="16"/>
      <c r="K20" s="16"/>
      <c r="L20" s="17" t="n">
        <f aca="false">I20*O20</f>
        <v>0</v>
      </c>
      <c r="M20" s="17" t="n">
        <f aca="false">J20*P20</f>
        <v>0</v>
      </c>
      <c r="N20" s="17" t="n">
        <f aca="false">K20*Q20</f>
        <v>0</v>
      </c>
      <c r="O20" s="18"/>
      <c r="P20" s="18"/>
      <c r="Q20" s="18"/>
      <c r="R20" s="17" t="n">
        <f aca="false">I20-L20</f>
        <v>85199.89</v>
      </c>
      <c r="S20" s="17" t="n">
        <f aca="false">J20-M20</f>
        <v>0</v>
      </c>
      <c r="T20" s="17" t="n">
        <f aca="false">K20-N20</f>
        <v>0</v>
      </c>
      <c r="U20" s="1"/>
      <c r="V20" s="1"/>
    </row>
    <row r="21" customFormat="false" ht="15" hidden="false" customHeight="false" outlineLevel="0" collapsed="false">
      <c r="A21" s="1"/>
      <c r="B21" s="13" t="s">
        <v>23</v>
      </c>
      <c r="C21" s="14" t="n">
        <v>2364</v>
      </c>
      <c r="D21" s="14"/>
      <c r="E21" s="14"/>
      <c r="F21" s="15" t="n">
        <f aca="false">IFERROR(I21/C21,0)</f>
        <v>12.5674703891709</v>
      </c>
      <c r="G21" s="15" t="n">
        <f aca="false">IFERROR(J21/D21,0)</f>
        <v>0</v>
      </c>
      <c r="H21" s="15" t="n">
        <f aca="false">IFERROR(K21/E21,0)</f>
        <v>0</v>
      </c>
      <c r="I21" s="16" t="n">
        <v>29709.5</v>
      </c>
      <c r="J21" s="16"/>
      <c r="K21" s="16"/>
      <c r="L21" s="17" t="n">
        <f aca="false">I21*O21</f>
        <v>0</v>
      </c>
      <c r="M21" s="17" t="n">
        <f aca="false">J21*P21</f>
        <v>0</v>
      </c>
      <c r="N21" s="17" t="n">
        <f aca="false">K21*Q21</f>
        <v>0</v>
      </c>
      <c r="O21" s="18"/>
      <c r="P21" s="18"/>
      <c r="Q21" s="18"/>
      <c r="R21" s="17" t="n">
        <f aca="false">I21-L21</f>
        <v>29709.5</v>
      </c>
      <c r="S21" s="17" t="n">
        <f aca="false">J21-M21</f>
        <v>0</v>
      </c>
      <c r="T21" s="17" t="n">
        <f aca="false">K21-N21</f>
        <v>0</v>
      </c>
      <c r="U21" s="1"/>
      <c r="V21" s="1"/>
    </row>
    <row r="22" customFormat="false" ht="15" hidden="false" customHeight="false" outlineLevel="0" collapsed="false">
      <c r="A22" s="1"/>
      <c r="B22" s="13" t="s">
        <v>24</v>
      </c>
      <c r="C22" s="14" t="n">
        <v>112</v>
      </c>
      <c r="D22" s="14"/>
      <c r="E22" s="14"/>
      <c r="F22" s="15" t="n">
        <f aca="false">IFERROR(I22/C22,0)</f>
        <v>261.047321428571</v>
      </c>
      <c r="G22" s="15" t="n">
        <f aca="false">IFERROR(J22/D22,0)</f>
        <v>0</v>
      </c>
      <c r="H22" s="15" t="n">
        <f aca="false">IFERROR(K22/E22,0)</f>
        <v>0</v>
      </c>
      <c r="I22" s="16" t="n">
        <v>29237.3</v>
      </c>
      <c r="J22" s="16"/>
      <c r="K22" s="16"/>
      <c r="L22" s="17" t="n">
        <f aca="false">I22*O22</f>
        <v>0</v>
      </c>
      <c r="M22" s="17" t="n">
        <f aca="false">J22*P22</f>
        <v>0</v>
      </c>
      <c r="N22" s="17" t="n">
        <f aca="false">K22*Q22</f>
        <v>0</v>
      </c>
      <c r="O22" s="18"/>
      <c r="P22" s="18"/>
      <c r="Q22" s="18"/>
      <c r="R22" s="17" t="n">
        <f aca="false">I22-L22</f>
        <v>29237.3</v>
      </c>
      <c r="S22" s="17" t="n">
        <f aca="false">J22-M22</f>
        <v>0</v>
      </c>
      <c r="T22" s="17" t="n">
        <f aca="false">K22-N22</f>
        <v>0</v>
      </c>
      <c r="U22" s="1"/>
      <c r="V22" s="1"/>
    </row>
    <row r="23" customFormat="false" ht="15" hidden="false" customHeight="false" outlineLevel="0" collapsed="false">
      <c r="A23" s="1"/>
      <c r="B23" s="13" t="s">
        <v>25</v>
      </c>
      <c r="C23" s="14" t="n">
        <v>41</v>
      </c>
      <c r="D23" s="14"/>
      <c r="E23" s="14"/>
      <c r="F23" s="15" t="n">
        <f aca="false">IFERROR(I23/C23,0)</f>
        <v>646.908536585366</v>
      </c>
      <c r="G23" s="15" t="n">
        <f aca="false">IFERROR(J23/D23,0)</f>
        <v>0</v>
      </c>
      <c r="H23" s="15" t="n">
        <f aca="false">IFERROR(K23/E23,0)</f>
        <v>0</v>
      </c>
      <c r="I23" s="16" t="n">
        <v>26523.25</v>
      </c>
      <c r="J23" s="16"/>
      <c r="K23" s="16"/>
      <c r="L23" s="17" t="n">
        <f aca="false">I23*O23</f>
        <v>0</v>
      </c>
      <c r="M23" s="17" t="n">
        <f aca="false">J23*P23</f>
        <v>0</v>
      </c>
      <c r="N23" s="17" t="n">
        <f aca="false">K23*Q23</f>
        <v>0</v>
      </c>
      <c r="O23" s="18"/>
      <c r="P23" s="18"/>
      <c r="Q23" s="18"/>
      <c r="R23" s="17" t="n">
        <f aca="false">I23-L23</f>
        <v>26523.25</v>
      </c>
      <c r="S23" s="17" t="n">
        <f aca="false">J23-M23</f>
        <v>0</v>
      </c>
      <c r="T23" s="17" t="n">
        <f aca="false">K23-N23</f>
        <v>0</v>
      </c>
      <c r="U23" s="1"/>
      <c r="V23" s="1"/>
    </row>
    <row r="24" customFormat="false" ht="15" hidden="false" customHeight="false" outlineLevel="0" collapsed="false">
      <c r="A24" s="1"/>
      <c r="B24" s="13" t="s">
        <v>26</v>
      </c>
      <c r="C24" s="14" t="n">
        <v>0</v>
      </c>
      <c r="D24" s="14"/>
      <c r="E24" s="14"/>
      <c r="F24" s="15" t="n">
        <f aca="false">IFERROR(I24/C24,0)</f>
        <v>0</v>
      </c>
      <c r="G24" s="15" t="n">
        <f aca="false">IFERROR(J24/D24,0)</f>
        <v>0</v>
      </c>
      <c r="H24" s="15" t="n">
        <f aca="false">IFERROR(K24/E24,0)</f>
        <v>0</v>
      </c>
      <c r="I24" s="16" t="n">
        <v>3090.71</v>
      </c>
      <c r="J24" s="16"/>
      <c r="K24" s="16"/>
      <c r="L24" s="17" t="n">
        <f aca="false">I24*O24</f>
        <v>0</v>
      </c>
      <c r="M24" s="17" t="n">
        <f aca="false">J24*P24</f>
        <v>0</v>
      </c>
      <c r="N24" s="17" t="n">
        <f aca="false">K24*Q24</f>
        <v>0</v>
      </c>
      <c r="O24" s="18"/>
      <c r="P24" s="18"/>
      <c r="Q24" s="18"/>
      <c r="R24" s="17" t="n">
        <f aca="false">I24-L24</f>
        <v>3090.71</v>
      </c>
      <c r="S24" s="17" t="n">
        <f aca="false">J24-M24</f>
        <v>0</v>
      </c>
      <c r="T24" s="17" t="n">
        <f aca="false">K24-N24</f>
        <v>0</v>
      </c>
      <c r="U24" s="1"/>
      <c r="V24" s="1"/>
    </row>
    <row r="25" customFormat="false" ht="15" hidden="false" customHeight="false" outlineLevel="0" collapsed="false">
      <c r="A25" s="1"/>
      <c r="B25" s="19" t="s">
        <v>27</v>
      </c>
      <c r="C25" s="14" t="n">
        <v>0</v>
      </c>
      <c r="D25" s="14"/>
      <c r="E25" s="14"/>
      <c r="F25" s="15" t="n">
        <f aca="false">IFERROR(I25/C25,0)</f>
        <v>0</v>
      </c>
      <c r="G25" s="15" t="n">
        <f aca="false">IFERROR(J25/D25,0)</f>
        <v>0</v>
      </c>
      <c r="H25" s="15" t="n">
        <f aca="false">IFERROR(K25/E25,0)</f>
        <v>0</v>
      </c>
      <c r="I25" s="16" t="n">
        <v>130163.12</v>
      </c>
      <c r="J25" s="16"/>
      <c r="K25" s="16"/>
      <c r="L25" s="17" t="n">
        <f aca="false">I25*O25</f>
        <v>0</v>
      </c>
      <c r="M25" s="17" t="n">
        <f aca="false">J25*P25</f>
        <v>0</v>
      </c>
      <c r="N25" s="17" t="n">
        <f aca="false">K25*Q25</f>
        <v>0</v>
      </c>
      <c r="O25" s="18"/>
      <c r="P25" s="18"/>
      <c r="Q25" s="18"/>
      <c r="R25" s="17" t="n">
        <f aca="false">I25-L25</f>
        <v>130163.12</v>
      </c>
      <c r="S25" s="17" t="n">
        <f aca="false">J25-M25</f>
        <v>0</v>
      </c>
      <c r="T25" s="17" t="n">
        <f aca="false">K25-N25</f>
        <v>0</v>
      </c>
      <c r="U25" s="1"/>
      <c r="V25" s="1"/>
    </row>
    <row r="26" customFormat="false" ht="15" hidden="false" customHeight="false" outlineLevel="0" collapsed="false">
      <c r="A26" s="1"/>
      <c r="B26" s="20" t="s">
        <v>28</v>
      </c>
      <c r="C26" s="21" t="n">
        <f aca="false">SUM(C16:C25)</f>
        <v>8159</v>
      </c>
      <c r="D26" s="21" t="n">
        <f aca="false">SUM(D16:D25)</f>
        <v>0</v>
      </c>
      <c r="E26" s="21" t="n">
        <f aca="false">SUM(E16:E25)</f>
        <v>0</v>
      </c>
      <c r="F26" s="22" t="n">
        <f aca="false">IFERROR(I26/C26,0)</f>
        <v>244.673430567472</v>
      </c>
      <c r="G26" s="22" t="n">
        <f aca="false">IFERROR(J26/D26,0)</f>
        <v>0</v>
      </c>
      <c r="H26" s="22" t="n">
        <f aca="false">IFERROR(K26/E26,0)</f>
        <v>0</v>
      </c>
      <c r="I26" s="23" t="n">
        <f aca="false">SUM(I16:I25)</f>
        <v>1996290.52</v>
      </c>
      <c r="J26" s="23" t="n">
        <f aca="false">SUM(J16:J25)</f>
        <v>0</v>
      </c>
      <c r="K26" s="23" t="n">
        <f aca="false">SUM(K16:K25)</f>
        <v>0</v>
      </c>
      <c r="L26" s="23" t="n">
        <f aca="false">SUM(L16:L25)</f>
        <v>0</v>
      </c>
      <c r="M26" s="23" t="n">
        <f aca="false">SUM(M16:M25)</f>
        <v>0</v>
      </c>
      <c r="N26" s="23" t="n">
        <f aca="false">SUM(N16:N25)</f>
        <v>0</v>
      </c>
      <c r="O26" s="24" t="n">
        <f aca="false">IFERROR(L26/I26,0)</f>
        <v>0</v>
      </c>
      <c r="P26" s="24" t="n">
        <f aca="false">IFERROR(M26/J26,0)</f>
        <v>0</v>
      </c>
      <c r="Q26" s="24" t="n">
        <f aca="false">IFERROR(N26/K26,0)</f>
        <v>0</v>
      </c>
      <c r="R26" s="23" t="n">
        <f aca="false">SUM(R16:R25)</f>
        <v>1996290.52</v>
      </c>
      <c r="S26" s="23" t="n">
        <f aca="false">SUM(S16:S25)</f>
        <v>0</v>
      </c>
      <c r="T26" s="23" t="n">
        <f aca="false">SUM(T16:T25)</f>
        <v>0</v>
      </c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25" t="s">
        <v>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26" t="s">
        <v>30</v>
      </c>
      <c r="C29" s="10" t="n">
        <v>1996290.52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26" t="s">
        <v>31</v>
      </c>
      <c r="C30" s="10" t="n">
        <f aca="false">I26-C29</f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25" t="s">
        <v>32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 t="s">
        <v>33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 t="s">
        <v>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 t="s">
        <v>35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27" t="s">
        <v>36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 t="s">
        <v>37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 t="s">
        <v>38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27" t="s">
        <v>39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 t="s">
        <v>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 t="s">
        <v>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28" t="s">
        <v>42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</sheetData>
  <mergeCells count="7">
    <mergeCell ref="B14:B15"/>
    <mergeCell ref="C14:E14"/>
    <mergeCell ref="F14:H14"/>
    <mergeCell ref="I14:K14"/>
    <mergeCell ref="L14:N14"/>
    <mergeCell ref="O14:Q14"/>
    <mergeCell ref="R14:T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46"/>
  </cols>
  <sheetData>
    <row r="1" customFormat="false" ht="18.55" hidden="false" customHeight="false" outlineLevel="0" collapsed="false">
      <c r="A1" s="1"/>
      <c r="B1" s="29" t="s">
        <v>43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28" t="s">
        <v>44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30" t="s">
        <v>45</v>
      </c>
      <c r="C4" s="30" t="s">
        <v>46</v>
      </c>
      <c r="D4" s="30" t="s">
        <v>47</v>
      </c>
      <c r="E4" s="30" t="s">
        <v>48</v>
      </c>
      <c r="F4" s="1"/>
      <c r="G4" s="1"/>
    </row>
    <row r="5" customFormat="false" ht="78" hidden="false" customHeight="true" outlineLevel="0" collapsed="false">
      <c r="A5" s="1"/>
      <c r="B5" s="31" t="s">
        <v>18</v>
      </c>
      <c r="C5" s="32" t="s">
        <v>49</v>
      </c>
      <c r="D5" s="32" t="s">
        <v>50</v>
      </c>
      <c r="E5" s="32" t="s">
        <v>51</v>
      </c>
      <c r="F5" s="1"/>
      <c r="G5" s="1"/>
    </row>
    <row r="6" customFormat="false" ht="78" hidden="false" customHeight="true" outlineLevel="0" collapsed="false">
      <c r="A6" s="1"/>
      <c r="B6" s="31" t="s">
        <v>19</v>
      </c>
      <c r="C6" s="32" t="s">
        <v>52</v>
      </c>
      <c r="D6" s="32" t="s">
        <v>53</v>
      </c>
      <c r="E6" s="32" t="s">
        <v>54</v>
      </c>
      <c r="F6" s="1"/>
      <c r="G6" s="1"/>
    </row>
    <row r="7" customFormat="false" ht="78" hidden="false" customHeight="true" outlineLevel="0" collapsed="false">
      <c r="A7" s="1"/>
      <c r="B7" s="31" t="s">
        <v>20</v>
      </c>
      <c r="C7" s="32" t="s">
        <v>55</v>
      </c>
      <c r="D7" s="32" t="s">
        <v>56</v>
      </c>
      <c r="E7" s="32" t="s">
        <v>57</v>
      </c>
      <c r="F7" s="1"/>
      <c r="G7" s="1"/>
    </row>
    <row r="8" customFormat="false" ht="78" hidden="false" customHeight="true" outlineLevel="0" collapsed="false">
      <c r="A8" s="1"/>
      <c r="B8" s="31" t="s">
        <v>21</v>
      </c>
      <c r="C8" s="32" t="s">
        <v>58</v>
      </c>
      <c r="D8" s="32" t="s">
        <v>59</v>
      </c>
      <c r="E8" s="32" t="s">
        <v>60</v>
      </c>
      <c r="F8" s="1"/>
      <c r="G8" s="1"/>
    </row>
    <row r="9" customFormat="false" ht="78" hidden="false" customHeight="true" outlineLevel="0" collapsed="false">
      <c r="A9" s="1"/>
      <c r="B9" s="31" t="s">
        <v>22</v>
      </c>
      <c r="C9" s="32" t="s">
        <v>61</v>
      </c>
      <c r="D9" s="32" t="s">
        <v>62</v>
      </c>
      <c r="E9" s="32" t="s">
        <v>63</v>
      </c>
      <c r="F9" s="1"/>
      <c r="G9" s="1"/>
    </row>
    <row r="10" customFormat="false" ht="78" hidden="false" customHeight="true" outlineLevel="0" collapsed="false">
      <c r="A10" s="1"/>
      <c r="B10" s="31" t="s">
        <v>23</v>
      </c>
      <c r="C10" s="32" t="s">
        <v>64</v>
      </c>
      <c r="D10" s="32" t="s">
        <v>65</v>
      </c>
      <c r="E10" s="32" t="s">
        <v>66</v>
      </c>
      <c r="F10" s="1"/>
      <c r="G10" s="1"/>
    </row>
    <row r="11" customFormat="false" ht="78" hidden="false" customHeight="true" outlineLevel="0" collapsed="false">
      <c r="A11" s="1"/>
      <c r="B11" s="31" t="s">
        <v>24</v>
      </c>
      <c r="C11" s="32" t="s">
        <v>67</v>
      </c>
      <c r="D11" s="32" t="s">
        <v>68</v>
      </c>
      <c r="E11" s="32" t="s">
        <v>69</v>
      </c>
      <c r="F11" s="1"/>
      <c r="G11" s="1"/>
    </row>
    <row r="12" customFormat="false" ht="78" hidden="false" customHeight="true" outlineLevel="0" collapsed="false">
      <c r="A12" s="1"/>
      <c r="B12" s="31" t="s">
        <v>25</v>
      </c>
      <c r="C12" s="32" t="s">
        <v>70</v>
      </c>
      <c r="D12" s="32" t="s">
        <v>71</v>
      </c>
      <c r="E12" s="32" t="s">
        <v>72</v>
      </c>
      <c r="F12" s="1"/>
      <c r="G12" s="1"/>
    </row>
    <row r="13" customFormat="false" ht="78" hidden="false" customHeight="true" outlineLevel="0" collapsed="false">
      <c r="A13" s="1"/>
      <c r="B13" s="31" t="s">
        <v>26</v>
      </c>
      <c r="C13" s="32" t="s">
        <v>73</v>
      </c>
      <c r="D13" s="32" t="s">
        <v>74</v>
      </c>
      <c r="E13" s="32" t="s">
        <v>75</v>
      </c>
      <c r="F13" s="1"/>
      <c r="G13" s="1"/>
    </row>
    <row r="14" customFormat="false" ht="78" hidden="false" customHeight="true" outlineLevel="0" collapsed="false">
      <c r="A14" s="1"/>
      <c r="B14" s="31" t="s">
        <v>27</v>
      </c>
      <c r="C14" s="32" t="s">
        <v>76</v>
      </c>
      <c r="D14" s="32" t="s">
        <v>77</v>
      </c>
      <c r="E14" s="32" t="s">
        <v>78</v>
      </c>
      <c r="F14" s="1"/>
      <c r="G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5" hidden="false" customHeight="false" outlineLevel="0" collapsed="false">
      <c r="A16" s="1"/>
      <c r="B16" s="33" t="s">
        <v>79</v>
      </c>
      <c r="C16" s="1"/>
      <c r="D16" s="1"/>
      <c r="E16" s="1"/>
      <c r="F16" s="1"/>
      <c r="G16" s="1"/>
    </row>
    <row r="17" customFormat="false" ht="15" hidden="false" customHeight="false" outlineLevel="0" collapsed="false">
      <c r="A17" s="1"/>
      <c r="B17" s="1" t="s">
        <v>80</v>
      </c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1" t="s">
        <v>81</v>
      </c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1" t="s">
        <v>82</v>
      </c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 t="s">
        <v>83</v>
      </c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4" t="s">
        <v>84</v>
      </c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2026-07-28T15:12:15Z</dcterms:created>
  <dc:creator>openpyxl</dc:creator>
  <dc:description/>
  <dc:language>en-US</dc:language>
  <cp:lastModifiedBy/>
  <dcterms:modified xsi:type="dcterms:W3CDTF">2026-07-28T15:12:15Z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