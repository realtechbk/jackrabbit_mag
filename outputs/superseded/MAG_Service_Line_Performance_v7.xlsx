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Performance" sheetId="1" state="visible" r:id="rId3"/>
    <sheet name="Service 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<sst xmlns="http://schemas.openxmlformats.org/spreadsheetml/2006/main" count="201" uniqueCount="130">
  <si>
    <t xml:space="preserve">Maine Academy of Gymnastics</t>
  </si>
  <si>
    <t xml:space="preserve">Service Line Performance — 2023 / 2024 / 2025</t>
  </si>
  <si>
    <t xml:space="preserve">REVENUE BASIS: Jackrabbit Revenue Summary (one report per calendar year). Each year reconciles to its stated total with zero variance. UNITS BASIS: Jackrabbit Class/Event Revenue Summary, de-duplicated on Class + Session + Category 3.</t>
  </si>
  <si>
    <t xml:space="preserve">The two reports attribute revenue slightly differently (1-2%), so Revenue per Unit blends two sources. Revenue totals are the audited figures; units are the only counts Jackrabbit exposes.</t>
  </si>
  <si>
    <t xml:space="preserve">THE UNIT DIFFERS BY ROW — see the Unit column and the Service Definitions tab. Do not sum units across different unit types.</t>
  </si>
  <si>
    <t xml:space="preserve">2023</t>
  </si>
  <si>
    <t xml:space="preserve">2024</t>
  </si>
  <si>
    <t xml:space="preserve">2025</t>
  </si>
  <si>
    <t xml:space="preserve">Class enrolments (comparable rows only)</t>
  </si>
  <si>
    <t xml:space="preserve">Total Revenue</t>
  </si>
  <si>
    <t xml:space="preserve">Revenue per class enrolment</t>
  </si>
  <si>
    <t xml:space="preserve">Cost of Sales (as a % of Revenue)</t>
  </si>
  <si>
    <t xml:space="preserve">Gross Profit</t>
  </si>
  <si>
    <t xml:space="preserve">Gross Profit (as a % of Revenue)</t>
  </si>
  <si>
    <t xml:space="preserve">Product/Service</t>
  </si>
  <si>
    <t xml:space="preserve">Unit</t>
  </si>
  <si>
    <t xml:space="preserve"># Units Sold</t>
  </si>
  <si>
    <t xml:space="preserve">Revenue per Unit</t>
  </si>
  <si>
    <t xml:space="preserve">Total Cost of Sales</t>
  </si>
  <si>
    <t xml:space="preserve">Cost of Sales %</t>
  </si>
  <si>
    <t xml:space="preserve">Total Gross Profit</t>
  </si>
  <si>
    <t xml:space="preserve">Recreational -- Preschool (The Jungle)</t>
  </si>
  <si>
    <t xml:space="preserve">enrolment</t>
  </si>
  <si>
    <t xml:space="preserve">Recreational -- Girls Wings</t>
  </si>
  <si>
    <t xml:space="preserve">Recreational -- Boys Wings</t>
  </si>
  <si>
    <t xml:space="preserve">Recreational -- Tumbling</t>
  </si>
  <si>
    <t xml:space="preserve">Recreational -- Workshops &amp; Class Series</t>
  </si>
  <si>
    <t xml:space="preserve">Recreational -- Unlinked Tuition</t>
  </si>
  <si>
    <t xml:space="preserve">n/a</t>
  </si>
  <si>
    <t xml:space="preserve">Competitive -- Pre-Team</t>
  </si>
  <si>
    <t xml:space="preserve">Competitive -- American Flyers Teams</t>
  </si>
  <si>
    <t xml:space="preserve">Ancillary -- Open Gym</t>
  </si>
  <si>
    <t xml:space="preserve">booking</t>
  </si>
  <si>
    <t xml:space="preserve">Ancillary -- Annual Membership Fees</t>
  </si>
  <si>
    <t xml:space="preserve">membership</t>
  </si>
  <si>
    <t xml:space="preserve">Ancillary -- Birthday Parties</t>
  </si>
  <si>
    <t xml:space="preserve">party</t>
  </si>
  <si>
    <t xml:space="preserve">Ancillary -- Pro Shop</t>
  </si>
  <si>
    <t xml:space="preserve">item sold</t>
  </si>
  <si>
    <t xml:space="preserve">Ancillary -- Private Lessons</t>
  </si>
  <si>
    <t xml:space="preserve">lesson</t>
  </si>
  <si>
    <t xml:space="preserve">Ancillary -- Gift Certificates</t>
  </si>
  <si>
    <t xml:space="preserve">Ancillary -- Non-Instructional Time</t>
  </si>
  <si>
    <t xml:space="preserve">Other -- Tumble (stray Cat1)</t>
  </si>
  <si>
    <t xml:space="preserve">Review -- Unapplied Payments</t>
  </si>
  <si>
    <t xml:space="preserve">EXCLUDE -- Staff</t>
  </si>
  <si>
    <t xml:space="preserve">TOTAL REVENUE — all lines</t>
  </si>
  <si>
    <t xml:space="preserve">—</t>
  </si>
  <si>
    <t xml:space="preserve">Subtotal — class enrolments only (comparable)</t>
  </si>
  <si>
    <t xml:space="preserve">RECONCILIATION</t>
  </si>
  <si>
    <t xml:space="preserve">Report stated total</t>
  </si>
  <si>
    <t xml:space="preserve">Variance (must be zero)</t>
  </si>
  <si>
    <t xml:space="preserve">HOW TO USE THIS SHEET</t>
  </si>
  <si>
    <t xml:space="preserve">Fill the BLUE cells only: # Units Sold, Total Revenue, Cost of Sales %. Everything else calculates.</t>
  </si>
  <si>
    <t xml:space="preserve">Annual Membership units are a formula (revenue / $45) because the fee is flat — one membership per student per year.</t>
  </si>
  <si>
    <t xml:space="preserve">UNITS ARE NOT COMPARABLE ACROSS ROWS. A class enrolment, an Open Gym booking, a birthday party and a</t>
  </si>
  <si>
    <t xml:space="preserve">leotard are different things. That is why the TOTAL row shows a dash for units, and why the subtotal below it</t>
  </si>
  <si>
    <t xml:space="preserve">covers only the class-enrolment rows. Never add the Units column top to bottom.</t>
  </si>
  <si>
    <t xml:space="preserve">Rows with no unit yet: Pro Shop needs the Store report (items sold). Private Lessons is not tracked in Jackrabbit.</t>
  </si>
  <si>
    <t xml:space="preserve">Cost of Sales is not in Jackrabbit. For the class rows it is coach labour — hourly rate x class hours, from payroll.</t>
  </si>
  <si>
    <t xml:space="preserve">Pro Shop is the exception: its cost of sales is inventory purchase cost, not labour. Treat that row separately.</t>
  </si>
  <si>
    <t xml:space="preserve">See the Service Definitions tab for what each row contains, what one unit means, and the open data-quality items.</t>
  </si>
  <si>
    <t xml:space="preserve">Service Definitions</t>
  </si>
  <si>
    <t xml:space="preserve">Rows come from Category 1 / Category 2 in the Jackrabbit Revenue Summary. The unit differs by row — that is deliberate.</t>
  </si>
  <si>
    <t xml:space="preserve">Service Row</t>
  </si>
  <si>
    <t xml:space="preserve">Jackrabbit source</t>
  </si>
  <si>
    <t xml:space="preserve">What one unit is</t>
  </si>
  <si>
    <t xml:space="preserve">Notes &amp; 2023-25 actuals</t>
  </si>
  <si>
    <t xml:space="preserve">Cat1 Recreational + Cat2 Pre-School or Parent-Child</t>
  </si>
  <si>
    <t xml:space="preserve">One child in one preschool class for one session.</t>
  </si>
  <si>
    <t xml:space="preserve">1,151 / 1,119 / 1,071 units · $343k / $382k / $367k. Down 7% over two years. The funnel feeder for every other line, so the decline matters more than its size.</t>
  </si>
  <si>
    <t xml:space="preserve">Cat1 Recreational + Cat2 Rec Girls</t>
  </si>
  <si>
    <t xml:space="preserve">One girl in one class for one session. A student in two classes counts twice.</t>
  </si>
  <si>
    <t xml:space="preserve">2,090 / 2,517 / 2,440 units · $748k / $1,000k / $975k. 43.5% of 2025 revenue — the largest line. Rev per unit $358 -&gt; $400. Absorbs pre-team girls from 2024, so 2024 growth is slightly overstated.</t>
  </si>
  <si>
    <t xml:space="preserve">Cat1 Recreational + Cat2 Rec Boys</t>
  </si>
  <si>
    <t xml:space="preserve">One boy in one class for one session.</t>
  </si>
  <si>
    <t xml:space="preserve">277 / 247 / 239 units · $86k / $85k / $85k. Three consecutive unit declines with revenue flat — charging more to fewer students. Only 21 class records vs 163 for girls, at 51.6% fill.</t>
  </si>
  <si>
    <t xml:space="preserve">Cat1 Recreational + Cat2 Tumble (Combined)</t>
  </si>
  <si>
    <t xml:space="preserve">One student in one tumbling class for one session.</t>
  </si>
  <si>
    <t xml:space="preserve">332 / 433 / 334 units · $83k / $102k / $89k. Spiked then fell back. Best fill rate in the current class list at 81.6%, so there may be room to add capacity.</t>
  </si>
  <si>
    <t xml:space="preserve">Cat1 Recreational, Cat2 BLANK</t>
  </si>
  <si>
    <t xml:space="preserve">One student in one workshop or summer series.</t>
  </si>
  <si>
    <t xml:space="preserve">128 units / $3,134 in 2025 — a new short-format offering (3 Summer Tumble series, 3 Summer Wings series, 2 Bar Workshops). Rev per unit ~$24 because these are priced per session, not monthly. TAGGING NOTE: no Category 2 is set on these classes. Setting it moves ~$1,364 to Tumbling and ~$1,770 to Girls Wings. The 2023 and 2024 figures are three further untagged classes (also missing Category 1).</t>
  </si>
  <si>
    <t xml:space="preserve">Cat1 Recreational, activity 'No Activity Name'</t>
  </si>
  <si>
    <t xml:space="preserve">No unit — no class record exists to enrol against.</t>
  </si>
  <si>
    <t xml:space="preserve">$21,708 / $27,214 / $16,503 — DOWN 54% from the 2024 peak, so hygiene is improving. Tuition posted at family level rather than through the class-linked routine, plus orphans where a class was deleted after fees posted. Preventable going forward; not worth chasing retroactively at 0.7% of revenue.</t>
  </si>
  <si>
    <t xml:space="preserve">Cat1 Recreational + Cat2 Pre-Team (Invite Only)</t>
  </si>
  <si>
    <t xml:space="preserve">One athlete in one pre-team class.</t>
  </si>
  <si>
    <t xml:space="preserve">41 units / $26,248 in 2023 at $640 per unit — the HIGHEST unit value in the business, roughly double the rec average. The Cat2 exists in 2023 only; from 2024 these athletes sit inside the Wings rows.</t>
  </si>
  <si>
    <t xml:space="preserve">Cat1 Team</t>
  </si>
  <si>
    <t xml:space="preserve">One athlete in one team activity. Counts billing groups AND meet entries, so it double-counts athletes.</t>
  </si>
  <si>
    <t xml:space="preserve">1,792 / 1,878 / 2,129 units · $518k / $552k / $564k. Units up 13.4% in 2025 while rev per unit FELL from $294 to $265 — more meet participation, which is pass-through revenue at near-zero margin. In 2023 only $377,627 of the total was actual tuition; $140,104 was meet entry fees.</t>
  </si>
  <si>
    <t xml:space="preserve">Cat1 Open Gym</t>
  </si>
  <si>
    <t xml:space="preserve">One prepaid session booking.</t>
  </si>
  <si>
    <t xml:space="preserve">2,364 / 1,849 / 2,114 bookings at a flat ~$13. Highest unit count, lowest unit value. Marginal coach cost is supervision only, so margin should be well above the tuition rows.</t>
  </si>
  <si>
    <t xml:space="preserve">Cat1 Annual Membership</t>
  </si>
  <si>
    <t xml:space="preserve">One membership — the $45 annual fee, one per student per year.</t>
  </si>
  <si>
    <t xml:space="preserve">$58,294 / $61,640 / $52,777, implying ~1,295 / 1,370 / 1,173 memberships. Units are a FORMULA (revenue / 45). Essentially 100% margin — no coach labour. CAUTION: this implies a 14% fall in students in 2025, which the class enrolment data contradicts. Treat as a billing-timing artefact, not a headcount measure.</t>
  </si>
  <si>
    <t xml:space="preserve">Cat1 Birthday Parties</t>
  </si>
  <si>
    <t xml:space="preserve">One party booked.</t>
  </si>
  <si>
    <t xml:space="preserve">112 / 59 / 0 parties · $45,767 / $19,038 / nil. Wound down to nothing and the category disappears in 2025. Was 2.3% of revenue with almost no coach cost. Ask the client whether this was a deliberate exit.</t>
  </si>
  <si>
    <t xml:space="preserve">Cat1 ProShop</t>
  </si>
  <si>
    <t xml:space="preserve">One item sold. NOT YET AVAILABLE — needs Reports &gt; Store.</t>
  </si>
  <si>
    <t xml:space="preserve">$28,032 / $28,790 / $34,975, up 25% over two years. Unit count is blank because no Jackrabbit revenue report carries it; the Store reports do. A recurring $42.20 across many classes suggests a class leotard SKU, implying roughly 800 units as an upper bound. THIS IS THE ONE ROW WHERE COST OF SALES IS INVENTORY PURCHASE COST, NOT COACH LABOUR. Class-linked store sales collapsed from $1,025 to $139, so someone stopped attaching store sales to classes around 2025.</t>
  </si>
  <si>
    <t xml:space="preserve">Cat1 Private Lessons</t>
  </si>
  <si>
    <t xml:space="preserve">One lesson. NOT TRACKED — Jackrabbit returns zero against real revenue.</t>
  </si>
  <si>
    <t xml:space="preserve">$3,816 / $5,645 / $8,318 — up 118% in two years. Premium one-to-one delivery, constrained by coach time rather than floor space. Leave the unit cell blank rather than entering zero.</t>
  </si>
  <si>
    <t xml:space="preserve">Cat1 Gift Certificate</t>
  </si>
  <si>
    <t xml:space="preserve">No meaningful unit.</t>
  </si>
  <si>
    <t xml:space="preserve">$310 / $270 / nil. Discontinued alongside Birthday Parties.</t>
  </si>
  <si>
    <t xml:space="preserve">Cat1 Non-Instructional time</t>
  </si>
  <si>
    <t xml:space="preserve">$340 in 2025 only. A new category — worth asking what it is before it grows.</t>
  </si>
  <si>
    <t xml:space="preserve">Cat1 Tumble</t>
  </si>
  <si>
    <t xml:space="preserve">No unit.</t>
  </si>
  <si>
    <t xml:space="preserve">$17.80 in 2025. A mis-tag — belongs under Recreational + Tumble (Combined). Trivial, but a symptom of the same category discipline issue.</t>
  </si>
  <si>
    <t xml:space="preserve">Cat1 --Unapplied Payments--</t>
  </si>
  <si>
    <t xml:space="preserve">No unit — cash received but not applied to any fee.</t>
  </si>
  <si>
    <t xml:space="preserve">$172 / -$100 / $11,921, and $12,818 by July 2026. GETTING WORSE. Real money sitting unallocated on family accounts. Use Family Balance Summary and Aged Accounts Details to clear it. Operational, not analytical.</t>
  </si>
  <si>
    <t xml:space="preserve">Cat1 Staff</t>
  </si>
  <si>
    <t xml:space="preserve">No unit — internal transactions.</t>
  </si>
  <si>
    <t xml:space="preserve">$2,660 / $10,227 / $3,825. Not customer revenue and should be excluded from any operating view. The 2024 spike needs an explanation.</t>
  </si>
  <si>
    <t xml:space="preserve">Why the unit differs by row</t>
  </si>
  <si>
    <t xml:space="preserve">A gym sells several different things. Classes sell enrolments, Open Gym sells session bookings, the shop sells items,</t>
  </si>
  <si>
    <t xml:space="preserve">and the membership fee sells one membership per student per year. Forcing all of those into a single 'transactions'</t>
  </si>
  <si>
    <t xml:space="preserve">count would produce a number that measures billing cadence rather than demand — a student enrolled for ten months</t>
  </si>
  <si>
    <t xml:space="preserve">generates ten charges and one enrolment, and the ten tells you nothing useful.</t>
  </si>
  <si>
    <t xml:space="preserve">Consequence: the Units column must never be summed top to bottom, and Revenue per Unit is only comparable</t>
  </si>
  <si>
    <t xml:space="preserve">between rows that share a unit. The subtotal on the grid covers the class-enrolment rows only.</t>
  </si>
  <si>
    <t xml:space="preserve">Sources: Jackrabbit Revenue Summary (revenue, one report per calendar year) and Class/Event Revenue Summary</t>
  </si>
  <si>
    <t xml:space="preserve">(units, de-duplicated on Class + Session + Category 3). Both run 28 July 2026. All three years reconcile exactly.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</si>
</sst>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.00;&quot;($&quot;#,##0.00\);\-"/>
    <numFmt numFmtId="167" formatCode="\$#,##0;&quot;($&quot;#,##0\);\-"/>
    <numFmt numFmtId="168" formatCode="0.0%;\(0.0%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C9D1E0"/>
      <name val="Arial"/>
      <family val="0"/>
      <charset val="1"/>
    </font>
    <font>
      <i val="true"/>
      <sz val="9"/>
      <color rgb="FFC9D1E0"/>
      <name val="Arial"/>
      <family val="0"/>
      <charset val="1"/>
    </font>
    <font>
      <b val="true"/>
      <sz val="9"/>
      <color rgb="FFFFD4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9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D479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FFD47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DCE3F2"/>
      </patternFill>
    </fill>
    <fill>
      <patternFill patternType="solid">
        <fgColor rgb="FFD6DEF5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D9D9D9"/>
        <bgColor rgb="FFCFD8EA"/>
      </patternFill>
    </fill>
    <fill>
      <patternFill patternType="solid">
        <fgColor rgb="FFB9C4DC"/>
        <bgColor rgb="FFC9D1E0"/>
      </patternFill>
    </fill>
    <fill>
      <patternFill patternType="solid">
        <fgColor rgb="FFCFD8EA"/>
        <bgColor rgb="FFD6DE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0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7F7F7F"/>
      <rgbColor rgb="FF9999FF"/>
      <rgbColor rgb="FF8B3DD7"/>
      <rgbColor rgb="FFE8D9F5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D9D9D9"/>
      <rgbColor rgb="FFFFFF99"/>
      <rgbColor rgb="FFCFD8EA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21" min="3" style="0" width="13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false" outlineLevel="0" collapsed="false">
      <c r="A3" s="1"/>
      <c r="B3" s="4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5" hidden="false" customHeight="false" outlineLevel="0" collapsed="false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5" hidden="false" customHeight="false" outlineLevel="0" collapsed="false">
      <c r="A5" s="1"/>
      <c r="B5" s="5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false" outlineLevel="0" collapsed="false">
      <c r="A7" s="1"/>
      <c r="B7" s="1"/>
      <c r="C7" s="1"/>
      <c r="D7" s="6" t="s">
        <v>5</v>
      </c>
      <c r="E7" s="6" t="s">
        <v>6</v>
      </c>
      <c r="F7" s="6" t="s">
        <v>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5" hidden="false" customHeight="false" outlineLevel="0" collapsed="false">
      <c r="A8" s="1"/>
      <c r="B8" s="7" t="s">
        <v>8</v>
      </c>
      <c r="C8" s="1"/>
      <c r="D8" s="8" t="n">
        <f aca="false">D36</f>
        <v>5684</v>
      </c>
      <c r="E8" s="8" t="n">
        <f aca="false">E36</f>
        <v>6199</v>
      </c>
      <c r="F8" s="8" t="n">
        <f aca="false">F36</f>
        <v>6341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5" hidden="false" customHeight="false" outlineLevel="0" collapsed="false">
      <c r="A9" s="1"/>
      <c r="B9" s="7" t="s">
        <v>9</v>
      </c>
      <c r="C9" s="1"/>
      <c r="D9" s="9" t="n">
        <f aca="false">J35</f>
        <v>1996290.52</v>
      </c>
      <c r="E9" s="9" t="n">
        <f aca="false">K35</f>
        <v>2297353.81</v>
      </c>
      <c r="F9" s="9" t="n">
        <f aca="false">L35</f>
        <v>2241034.37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false" outlineLevel="0" collapsed="false">
      <c r="A10" s="1"/>
      <c r="B10" s="7" t="s">
        <v>10</v>
      </c>
      <c r="C10" s="1"/>
      <c r="D10" s="10" t="n">
        <f aca="false">IFERROR(J36/D36,0)</f>
        <v>317.641196340605</v>
      </c>
      <c r="E10" s="10" t="n">
        <f aca="false">IFERROR(K36/E36,0)</f>
        <v>342.195929988708</v>
      </c>
      <c r="F10" s="10" t="n">
        <f aca="false">IFERROR(L36/F36,0)</f>
        <v>328.690917836303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" hidden="false" customHeight="false" outlineLevel="0" collapsed="false">
      <c r="A12" s="1"/>
      <c r="B12" s="7" t="s">
        <v>11</v>
      </c>
      <c r="C12" s="1"/>
      <c r="D12" s="11" t="n">
        <f aca="false">IFERROR(M35/J35,0)</f>
        <v>0</v>
      </c>
      <c r="E12" s="11" t="n">
        <f aca="false">IFERROR(N35/K35,0)</f>
        <v>0</v>
      </c>
      <c r="F12" s="11" t="n">
        <f aca="false">IFERROR(O35/L35,0)</f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5" hidden="false" customHeight="false" outlineLevel="0" collapsed="false">
      <c r="A13" s="1"/>
      <c r="B13" s="7" t="s">
        <v>12</v>
      </c>
      <c r="C13" s="1"/>
      <c r="D13" s="9" t="n">
        <f aca="false">S35</f>
        <v>1996290.52</v>
      </c>
      <c r="E13" s="9" t="n">
        <f aca="false">T35</f>
        <v>2297353.81</v>
      </c>
      <c r="F13" s="9" t="n">
        <f aca="false">U35</f>
        <v>2241034.37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5" hidden="false" customHeight="false" outlineLevel="0" collapsed="false">
      <c r="A14" s="1"/>
      <c r="B14" s="7" t="s">
        <v>13</v>
      </c>
      <c r="C14" s="1"/>
      <c r="D14" s="11" t="n">
        <f aca="false">IFERROR(S35/J35,0)</f>
        <v>1</v>
      </c>
      <c r="E14" s="11" t="n">
        <f aca="false">IFERROR(T35/K35,0)</f>
        <v>1</v>
      </c>
      <c r="F14" s="11" t="n">
        <f aca="false">IFERROR(U35/L35,0)</f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5" hidden="false" customHeight="true" outlineLevel="0" collapsed="false">
      <c r="A15" s="1"/>
      <c r="B15" s="12" t="s">
        <v>14</v>
      </c>
      <c r="C15" s="12" t="s">
        <v>15</v>
      </c>
      <c r="D15" s="12" t="s">
        <v>16</v>
      </c>
      <c r="E15" s="12"/>
      <c r="F15" s="12"/>
      <c r="G15" s="12" t="s">
        <v>17</v>
      </c>
      <c r="H15" s="12"/>
      <c r="I15" s="12"/>
      <c r="J15" s="12" t="s">
        <v>9</v>
      </c>
      <c r="K15" s="12"/>
      <c r="L15" s="12"/>
      <c r="M15" s="12" t="s">
        <v>18</v>
      </c>
      <c r="N15" s="12"/>
      <c r="O15" s="12"/>
      <c r="P15" s="12" t="s">
        <v>19</v>
      </c>
      <c r="Q15" s="12"/>
      <c r="R15" s="12"/>
      <c r="S15" s="12" t="s">
        <v>20</v>
      </c>
      <c r="T15" s="12"/>
      <c r="U15" s="12"/>
      <c r="V15" s="1"/>
      <c r="W15" s="1"/>
    </row>
    <row r="16" customFormat="false" ht="15" hidden="false" customHeight="false" outlineLevel="0" collapsed="false">
      <c r="A16" s="1"/>
      <c r="B16" s="12"/>
      <c r="C16" s="12"/>
      <c r="D16" s="6" t="s">
        <v>5</v>
      </c>
      <c r="E16" s="6" t="s">
        <v>6</v>
      </c>
      <c r="F16" s="6" t="s">
        <v>7</v>
      </c>
      <c r="G16" s="6" t="s">
        <v>5</v>
      </c>
      <c r="H16" s="6" t="s">
        <v>6</v>
      </c>
      <c r="I16" s="6" t="s">
        <v>7</v>
      </c>
      <c r="J16" s="6" t="s">
        <v>5</v>
      </c>
      <c r="K16" s="6" t="s">
        <v>6</v>
      </c>
      <c r="L16" s="6" t="s">
        <v>7</v>
      </c>
      <c r="M16" s="6" t="s">
        <v>5</v>
      </c>
      <c r="N16" s="6" t="s">
        <v>6</v>
      </c>
      <c r="O16" s="6" t="s">
        <v>7</v>
      </c>
      <c r="P16" s="6" t="s">
        <v>5</v>
      </c>
      <c r="Q16" s="6" t="s">
        <v>6</v>
      </c>
      <c r="R16" s="6" t="s">
        <v>7</v>
      </c>
      <c r="S16" s="6" t="s">
        <v>5</v>
      </c>
      <c r="T16" s="6" t="s">
        <v>6</v>
      </c>
      <c r="U16" s="6" t="s">
        <v>7</v>
      </c>
      <c r="V16" s="1"/>
      <c r="W16" s="1"/>
    </row>
    <row r="17" customFormat="false" ht="15" hidden="false" customHeight="false" outlineLevel="0" collapsed="false">
      <c r="A17" s="1"/>
      <c r="B17" s="13" t="s">
        <v>21</v>
      </c>
      <c r="C17" s="14" t="s">
        <v>22</v>
      </c>
      <c r="D17" s="15" t="n">
        <v>1151</v>
      </c>
      <c r="E17" s="15" t="n">
        <v>1119</v>
      </c>
      <c r="F17" s="15" t="n">
        <v>1071</v>
      </c>
      <c r="G17" s="16" t="n">
        <f aca="false">IFERROR(J17/D17,0)</f>
        <v>298.293014769765</v>
      </c>
      <c r="H17" s="16" t="n">
        <f aca="false">IFERROR(K17/E17,0)</f>
        <v>340.933467381591</v>
      </c>
      <c r="I17" s="16" t="n">
        <f aca="false">IFERROR(L17/F17,0)</f>
        <v>342.68421101774</v>
      </c>
      <c r="J17" s="17" t="n">
        <v>343335.26</v>
      </c>
      <c r="K17" s="17" t="n">
        <v>381504.55</v>
      </c>
      <c r="L17" s="17" t="n">
        <v>367014.79</v>
      </c>
      <c r="M17" s="18" t="n">
        <f aca="false">J17*P17</f>
        <v>0</v>
      </c>
      <c r="N17" s="18" t="n">
        <f aca="false">K17*Q17</f>
        <v>0</v>
      </c>
      <c r="O17" s="18" t="n">
        <f aca="false">L17*R17</f>
        <v>0</v>
      </c>
      <c r="P17" s="19"/>
      <c r="Q17" s="19"/>
      <c r="R17" s="19"/>
      <c r="S17" s="18" t="n">
        <f aca="false">J17-M17</f>
        <v>343335.26</v>
      </c>
      <c r="T17" s="18" t="n">
        <f aca="false">K17-N17</f>
        <v>381504.55</v>
      </c>
      <c r="U17" s="18" t="n">
        <f aca="false">L17-O17</f>
        <v>367014.79</v>
      </c>
      <c r="V17" s="1"/>
      <c r="W17" s="1"/>
    </row>
    <row r="18" customFormat="false" ht="15" hidden="false" customHeight="false" outlineLevel="0" collapsed="false">
      <c r="A18" s="1"/>
      <c r="B18" s="13" t="s">
        <v>23</v>
      </c>
      <c r="C18" s="14" t="s">
        <v>22</v>
      </c>
      <c r="D18" s="15" t="n">
        <v>2090</v>
      </c>
      <c r="E18" s="15" t="n">
        <v>2517</v>
      </c>
      <c r="F18" s="15" t="n">
        <v>2440</v>
      </c>
      <c r="G18" s="16" t="n">
        <f aca="false">IFERROR(J18/D18,0)</f>
        <v>358.129674641148</v>
      </c>
      <c r="H18" s="16" t="n">
        <f aca="false">IFERROR(K18/E18,0)</f>
        <v>397.234588796186</v>
      </c>
      <c r="I18" s="16" t="n">
        <f aca="false">IFERROR(L18/F18,0)</f>
        <v>399.70425</v>
      </c>
      <c r="J18" s="17" t="n">
        <v>748491.02</v>
      </c>
      <c r="K18" s="17" t="n">
        <v>999839.46</v>
      </c>
      <c r="L18" s="17" t="n">
        <v>975278.37</v>
      </c>
      <c r="M18" s="18" t="n">
        <f aca="false">J18*P18</f>
        <v>0</v>
      </c>
      <c r="N18" s="18" t="n">
        <f aca="false">K18*Q18</f>
        <v>0</v>
      </c>
      <c r="O18" s="18" t="n">
        <f aca="false">L18*R18</f>
        <v>0</v>
      </c>
      <c r="P18" s="19"/>
      <c r="Q18" s="19"/>
      <c r="R18" s="19"/>
      <c r="S18" s="18" t="n">
        <f aca="false">J18-M18</f>
        <v>748491.02</v>
      </c>
      <c r="T18" s="18" t="n">
        <f aca="false">K18-N18</f>
        <v>999839.46</v>
      </c>
      <c r="U18" s="18" t="n">
        <f aca="false">L18-O18</f>
        <v>975278.37</v>
      </c>
      <c r="V18" s="1"/>
      <c r="W18" s="1"/>
    </row>
    <row r="19" customFormat="false" ht="15" hidden="false" customHeight="false" outlineLevel="0" collapsed="false">
      <c r="A19" s="1"/>
      <c r="B19" s="13" t="s">
        <v>24</v>
      </c>
      <c r="C19" s="14" t="s">
        <v>22</v>
      </c>
      <c r="D19" s="15" t="n">
        <v>277</v>
      </c>
      <c r="E19" s="15" t="n">
        <v>247</v>
      </c>
      <c r="F19" s="15" t="n">
        <v>239</v>
      </c>
      <c r="G19" s="16" t="n">
        <f aca="false">IFERROR(J19/D19,0)</f>
        <v>311.63714801444</v>
      </c>
      <c r="H19" s="16" t="n">
        <f aca="false">IFERROR(K19/E19,0)</f>
        <v>342.322267206478</v>
      </c>
      <c r="I19" s="16" t="n">
        <f aca="false">IFERROR(L19/F19,0)</f>
        <v>357.695188284519</v>
      </c>
      <c r="J19" s="17" t="n">
        <v>86323.49</v>
      </c>
      <c r="K19" s="17" t="n">
        <v>84553.6</v>
      </c>
      <c r="L19" s="17" t="n">
        <v>85489.15</v>
      </c>
      <c r="M19" s="18" t="n">
        <f aca="false">J19*P19</f>
        <v>0</v>
      </c>
      <c r="N19" s="18" t="n">
        <f aca="false">K19*Q19</f>
        <v>0</v>
      </c>
      <c r="O19" s="18" t="n">
        <f aca="false">L19*R19</f>
        <v>0</v>
      </c>
      <c r="P19" s="19"/>
      <c r="Q19" s="19"/>
      <c r="R19" s="19"/>
      <c r="S19" s="18" t="n">
        <f aca="false">J19-M19</f>
        <v>86323.49</v>
      </c>
      <c r="T19" s="18" t="n">
        <f aca="false">K19-N19</f>
        <v>84553.6</v>
      </c>
      <c r="U19" s="18" t="n">
        <f aca="false">L19-O19</f>
        <v>85489.15</v>
      </c>
      <c r="V19" s="1"/>
      <c r="W19" s="1"/>
    </row>
    <row r="20" customFormat="false" ht="15" hidden="false" customHeight="false" outlineLevel="0" collapsed="false">
      <c r="A20" s="1"/>
      <c r="B20" s="13" t="s">
        <v>25</v>
      </c>
      <c r="C20" s="14" t="s">
        <v>22</v>
      </c>
      <c r="D20" s="15" t="n">
        <v>332</v>
      </c>
      <c r="E20" s="15" t="n">
        <v>433</v>
      </c>
      <c r="F20" s="15" t="n">
        <v>334</v>
      </c>
      <c r="G20" s="16" t="n">
        <f aca="false">IFERROR(J20/D20,0)</f>
        <v>250.924969879518</v>
      </c>
      <c r="H20" s="16" t="n">
        <f aca="false">IFERROR(K20/E20,0)</f>
        <v>236.068799076212</v>
      </c>
      <c r="I20" s="16" t="n">
        <f aca="false">IFERROR(L20/F20,0)</f>
        <v>266.521497005988</v>
      </c>
      <c r="J20" s="17" t="n">
        <v>83307.09</v>
      </c>
      <c r="K20" s="17" t="n">
        <v>102217.79</v>
      </c>
      <c r="L20" s="17" t="n">
        <v>89018.18</v>
      </c>
      <c r="M20" s="18" t="n">
        <f aca="false">J20*P20</f>
        <v>0</v>
      </c>
      <c r="N20" s="18" t="n">
        <f aca="false">K20*Q20</f>
        <v>0</v>
      </c>
      <c r="O20" s="18" t="n">
        <f aca="false">L20*R20</f>
        <v>0</v>
      </c>
      <c r="P20" s="19"/>
      <c r="Q20" s="19"/>
      <c r="R20" s="19"/>
      <c r="S20" s="18" t="n">
        <f aca="false">J20-M20</f>
        <v>83307.09</v>
      </c>
      <c r="T20" s="18" t="n">
        <f aca="false">K20-N20</f>
        <v>102217.79</v>
      </c>
      <c r="U20" s="18" t="n">
        <f aca="false">L20-O20</f>
        <v>89018.18</v>
      </c>
      <c r="V20" s="1"/>
      <c r="W20" s="1"/>
    </row>
    <row r="21" customFormat="false" ht="15" hidden="false" customHeight="false" outlineLevel="0" collapsed="false">
      <c r="A21" s="1"/>
      <c r="B21" s="13" t="s">
        <v>26</v>
      </c>
      <c r="C21" s="14" t="s">
        <v>22</v>
      </c>
      <c r="D21" s="15" t="n">
        <v>1</v>
      </c>
      <c r="E21" s="15" t="n">
        <v>5</v>
      </c>
      <c r="F21" s="15" t="n">
        <v>128</v>
      </c>
      <c r="G21" s="16" t="n">
        <f aca="false">IFERROR(J21/D21,0)</f>
        <v>36</v>
      </c>
      <c r="H21" s="16" t="n">
        <f aca="false">IFERROR(K21/E21,0)</f>
        <v>134.28</v>
      </c>
      <c r="I21" s="16" t="n">
        <f aca="false">IFERROR(L21/F21,0)</f>
        <v>24.484375</v>
      </c>
      <c r="J21" s="17" t="n">
        <v>36</v>
      </c>
      <c r="K21" s="17" t="n">
        <v>671.4</v>
      </c>
      <c r="L21" s="17" t="n">
        <v>3134</v>
      </c>
      <c r="M21" s="18" t="n">
        <f aca="false">J21*P21</f>
        <v>0</v>
      </c>
      <c r="N21" s="18" t="n">
        <f aca="false">K21*Q21</f>
        <v>0</v>
      </c>
      <c r="O21" s="18" t="n">
        <f aca="false">L21*R21</f>
        <v>0</v>
      </c>
      <c r="P21" s="19"/>
      <c r="Q21" s="19"/>
      <c r="R21" s="19"/>
      <c r="S21" s="18" t="n">
        <f aca="false">J21-M21</f>
        <v>36</v>
      </c>
      <c r="T21" s="18" t="n">
        <f aca="false">K21-N21</f>
        <v>671.4</v>
      </c>
      <c r="U21" s="18" t="n">
        <f aca="false">L21-O21</f>
        <v>3134</v>
      </c>
      <c r="V21" s="1"/>
      <c r="W21" s="1"/>
    </row>
    <row r="22" customFormat="false" ht="15" hidden="false" customHeight="false" outlineLevel="0" collapsed="false">
      <c r="A22" s="1"/>
      <c r="B22" s="20" t="s">
        <v>27</v>
      </c>
      <c r="C22" s="21" t="s">
        <v>28</v>
      </c>
      <c r="D22" s="15"/>
      <c r="E22" s="15"/>
      <c r="F22" s="15"/>
      <c r="G22" s="16" t="n">
        <f aca="false">IFERROR(J22/D22,0)</f>
        <v>0</v>
      </c>
      <c r="H22" s="16" t="n">
        <f aca="false">IFERROR(K22/E22,0)</f>
        <v>0</v>
      </c>
      <c r="I22" s="16" t="n">
        <f aca="false">IFERROR(L22/F22,0)</f>
        <v>0</v>
      </c>
      <c r="J22" s="17" t="n">
        <v>21708.45</v>
      </c>
      <c r="K22" s="17" t="n">
        <v>27214.03</v>
      </c>
      <c r="L22" s="17" t="n">
        <v>16502.96</v>
      </c>
      <c r="M22" s="18" t="n">
        <f aca="false">J22*P22</f>
        <v>0</v>
      </c>
      <c r="N22" s="18" t="n">
        <f aca="false">K22*Q22</f>
        <v>0</v>
      </c>
      <c r="O22" s="18" t="n">
        <f aca="false">L22*R22</f>
        <v>0</v>
      </c>
      <c r="P22" s="19"/>
      <c r="Q22" s="19"/>
      <c r="R22" s="19"/>
      <c r="S22" s="18" t="n">
        <f aca="false">J22-M22</f>
        <v>21708.45</v>
      </c>
      <c r="T22" s="18" t="n">
        <f aca="false">K22-N22</f>
        <v>27214.03</v>
      </c>
      <c r="U22" s="18" t="n">
        <f aca="false">L22-O22</f>
        <v>16502.96</v>
      </c>
      <c r="V22" s="1"/>
      <c r="W22" s="1"/>
    </row>
    <row r="23" customFormat="false" ht="15" hidden="false" customHeight="false" outlineLevel="0" collapsed="false">
      <c r="A23" s="1"/>
      <c r="B23" s="13" t="s">
        <v>29</v>
      </c>
      <c r="C23" s="14" t="s">
        <v>22</v>
      </c>
      <c r="D23" s="15" t="n">
        <v>41</v>
      </c>
      <c r="E23" s="15"/>
      <c r="F23" s="15"/>
      <c r="G23" s="16" t="n">
        <f aca="false">IFERROR(J23/D23,0)</f>
        <v>640.201219512195</v>
      </c>
      <c r="H23" s="16" t="n">
        <f aca="false">IFERROR(K23/E23,0)</f>
        <v>0</v>
      </c>
      <c r="I23" s="16" t="n">
        <f aca="false">IFERROR(L23/F23,0)</f>
        <v>0</v>
      </c>
      <c r="J23" s="17" t="n">
        <v>26248.25</v>
      </c>
      <c r="K23" s="17"/>
      <c r="L23" s="17"/>
      <c r="M23" s="18" t="n">
        <f aca="false">J23*P23</f>
        <v>0</v>
      </c>
      <c r="N23" s="18" t="n">
        <f aca="false">K23*Q23</f>
        <v>0</v>
      </c>
      <c r="O23" s="18" t="n">
        <f aca="false">L23*R23</f>
        <v>0</v>
      </c>
      <c r="P23" s="19"/>
      <c r="Q23" s="19"/>
      <c r="R23" s="19"/>
      <c r="S23" s="18" t="n">
        <f aca="false">J23-M23</f>
        <v>26248.25</v>
      </c>
      <c r="T23" s="18" t="n">
        <f aca="false">K23-N23</f>
        <v>0</v>
      </c>
      <c r="U23" s="18" t="n">
        <f aca="false">L23-O23</f>
        <v>0</v>
      </c>
      <c r="V23" s="1"/>
      <c r="W23" s="1"/>
    </row>
    <row r="24" customFormat="false" ht="15" hidden="false" customHeight="false" outlineLevel="0" collapsed="false">
      <c r="A24" s="1"/>
      <c r="B24" s="13" t="s">
        <v>30</v>
      </c>
      <c r="C24" s="14" t="s">
        <v>22</v>
      </c>
      <c r="D24" s="15" t="n">
        <v>1792</v>
      </c>
      <c r="E24" s="15" t="n">
        <v>1878</v>
      </c>
      <c r="F24" s="15" t="n">
        <v>2129</v>
      </c>
      <c r="G24" s="16" t="n">
        <f aca="false">IFERROR(J24/D24,0)</f>
        <v>288.912639508929</v>
      </c>
      <c r="H24" s="16" t="n">
        <f aca="false">IFERROR(K24/E24,0)</f>
        <v>294.188375931842</v>
      </c>
      <c r="I24" s="16" t="n">
        <f aca="false">IFERROR(L24/F24,0)</f>
        <v>265.051488961954</v>
      </c>
      <c r="J24" s="17" t="n">
        <v>517731.45</v>
      </c>
      <c r="K24" s="17" t="n">
        <v>552485.77</v>
      </c>
      <c r="L24" s="17" t="n">
        <v>564294.62</v>
      </c>
      <c r="M24" s="18" t="n">
        <f aca="false">J24*P24</f>
        <v>0</v>
      </c>
      <c r="N24" s="18" t="n">
        <f aca="false">K24*Q24</f>
        <v>0</v>
      </c>
      <c r="O24" s="18" t="n">
        <f aca="false">L24*R24</f>
        <v>0</v>
      </c>
      <c r="P24" s="19"/>
      <c r="Q24" s="19"/>
      <c r="R24" s="19"/>
      <c r="S24" s="18" t="n">
        <f aca="false">J24-M24</f>
        <v>517731.45</v>
      </c>
      <c r="T24" s="18" t="n">
        <f aca="false">K24-N24</f>
        <v>552485.77</v>
      </c>
      <c r="U24" s="18" t="n">
        <f aca="false">L24-O24</f>
        <v>564294.62</v>
      </c>
      <c r="V24" s="1"/>
      <c r="W24" s="1"/>
    </row>
    <row r="25" customFormat="false" ht="15" hidden="false" customHeight="false" outlineLevel="0" collapsed="false">
      <c r="A25" s="1"/>
      <c r="B25" s="13" t="s">
        <v>31</v>
      </c>
      <c r="C25" s="14" t="s">
        <v>32</v>
      </c>
      <c r="D25" s="15" t="n">
        <v>2364</v>
      </c>
      <c r="E25" s="15" t="n">
        <v>1849</v>
      </c>
      <c r="F25" s="15" t="n">
        <v>2114</v>
      </c>
      <c r="G25" s="16" t="n">
        <f aca="false">IFERROR(J25/D25,0)</f>
        <v>12.715524534687</v>
      </c>
      <c r="H25" s="16" t="n">
        <f aca="false">IFERROR(K25/E25,0)</f>
        <v>12.6323147647377</v>
      </c>
      <c r="I25" s="16" t="n">
        <f aca="false">IFERROR(L25/F25,0)</f>
        <v>13.3058467360454</v>
      </c>
      <c r="J25" s="17" t="n">
        <v>30059.5</v>
      </c>
      <c r="K25" s="17" t="n">
        <v>23357.15</v>
      </c>
      <c r="L25" s="17" t="n">
        <v>28128.56</v>
      </c>
      <c r="M25" s="18" t="n">
        <f aca="false">J25*P25</f>
        <v>0</v>
      </c>
      <c r="N25" s="18" t="n">
        <f aca="false">K25*Q25</f>
        <v>0</v>
      </c>
      <c r="O25" s="18" t="n">
        <f aca="false">L25*R25</f>
        <v>0</v>
      </c>
      <c r="P25" s="19"/>
      <c r="Q25" s="19"/>
      <c r="R25" s="19"/>
      <c r="S25" s="18" t="n">
        <f aca="false">J25-M25</f>
        <v>30059.5</v>
      </c>
      <c r="T25" s="18" t="n">
        <f aca="false">K25-N25</f>
        <v>23357.15</v>
      </c>
      <c r="U25" s="18" t="n">
        <f aca="false">L25-O25</f>
        <v>28128.56</v>
      </c>
      <c r="V25" s="1"/>
      <c r="W25" s="1"/>
    </row>
    <row r="26" customFormat="false" ht="15" hidden="false" customHeight="false" outlineLevel="0" collapsed="false">
      <c r="A26" s="1"/>
      <c r="B26" s="13" t="s">
        <v>33</v>
      </c>
      <c r="C26" s="14" t="s">
        <v>34</v>
      </c>
      <c r="D26" s="22" t="n">
        <f aca="false">ROUND(J26/45,0)</f>
        <v>1295</v>
      </c>
      <c r="E26" s="22" t="n">
        <f aca="false">ROUND(K26/45,0)</f>
        <v>1370</v>
      </c>
      <c r="F26" s="22" t="n">
        <f aca="false">ROUND(L26/45,0)</f>
        <v>1173</v>
      </c>
      <c r="G26" s="16" t="n">
        <f aca="false">IFERROR(J26/D26,0)</f>
        <v>45.0142857142857</v>
      </c>
      <c r="H26" s="16" t="n">
        <f aca="false">IFERROR(K26/E26,0)</f>
        <v>44.9927372262774</v>
      </c>
      <c r="I26" s="16" t="n">
        <f aca="false">IFERROR(L26/F26,0)</f>
        <v>44.993137254902</v>
      </c>
      <c r="J26" s="17" t="n">
        <v>58293.5</v>
      </c>
      <c r="K26" s="17" t="n">
        <v>61640.05</v>
      </c>
      <c r="L26" s="17" t="n">
        <v>52776.95</v>
      </c>
      <c r="M26" s="18" t="n">
        <f aca="false">J26*P26</f>
        <v>0</v>
      </c>
      <c r="N26" s="18" t="n">
        <f aca="false">K26*Q26</f>
        <v>0</v>
      </c>
      <c r="O26" s="18" t="n">
        <f aca="false">L26*R26</f>
        <v>0</v>
      </c>
      <c r="P26" s="19"/>
      <c r="Q26" s="19"/>
      <c r="R26" s="19"/>
      <c r="S26" s="18" t="n">
        <f aca="false">J26-M26</f>
        <v>58293.5</v>
      </c>
      <c r="T26" s="18" t="n">
        <f aca="false">K26-N26</f>
        <v>61640.05</v>
      </c>
      <c r="U26" s="18" t="n">
        <f aca="false">L26-O26</f>
        <v>52776.95</v>
      </c>
      <c r="V26" s="1"/>
      <c r="W26" s="1"/>
    </row>
    <row r="27" customFormat="false" ht="15" hidden="false" customHeight="false" outlineLevel="0" collapsed="false">
      <c r="A27" s="1"/>
      <c r="B27" s="13" t="s">
        <v>35</v>
      </c>
      <c r="C27" s="14" t="s">
        <v>36</v>
      </c>
      <c r="D27" s="15" t="n">
        <v>112</v>
      </c>
      <c r="E27" s="15" t="n">
        <v>59</v>
      </c>
      <c r="F27" s="15"/>
      <c r="G27" s="16" t="n">
        <f aca="false">IFERROR(J27/D27,0)</f>
        <v>408.634375</v>
      </c>
      <c r="H27" s="16" t="n">
        <f aca="false">IFERROR(K27/E27,0)</f>
        <v>322.681355932203</v>
      </c>
      <c r="I27" s="16" t="n">
        <f aca="false">IFERROR(L27/F27,0)</f>
        <v>0</v>
      </c>
      <c r="J27" s="17" t="n">
        <v>45767.05</v>
      </c>
      <c r="K27" s="17" t="n">
        <v>19038.2</v>
      </c>
      <c r="L27" s="17"/>
      <c r="M27" s="18" t="n">
        <f aca="false">J27*P27</f>
        <v>0</v>
      </c>
      <c r="N27" s="18" t="n">
        <f aca="false">K27*Q27</f>
        <v>0</v>
      </c>
      <c r="O27" s="18" t="n">
        <f aca="false">L27*R27</f>
        <v>0</v>
      </c>
      <c r="P27" s="19"/>
      <c r="Q27" s="19"/>
      <c r="R27" s="19"/>
      <c r="S27" s="18" t="n">
        <f aca="false">J27-M27</f>
        <v>45767.05</v>
      </c>
      <c r="T27" s="18" t="n">
        <f aca="false">K27-N27</f>
        <v>19038.2</v>
      </c>
      <c r="U27" s="18" t="n">
        <f aca="false">L27-O27</f>
        <v>0</v>
      </c>
      <c r="V27" s="1"/>
      <c r="W27" s="1"/>
    </row>
    <row r="28" customFormat="false" ht="15" hidden="false" customHeight="false" outlineLevel="0" collapsed="false">
      <c r="A28" s="1"/>
      <c r="B28" s="13" t="s">
        <v>37</v>
      </c>
      <c r="C28" s="14" t="s">
        <v>38</v>
      </c>
      <c r="D28" s="15"/>
      <c r="E28" s="15"/>
      <c r="F28" s="15"/>
      <c r="G28" s="16" t="n">
        <f aca="false">IFERROR(J28/D28,0)</f>
        <v>0</v>
      </c>
      <c r="H28" s="16" t="n">
        <f aca="false">IFERROR(K28/E28,0)</f>
        <v>0</v>
      </c>
      <c r="I28" s="16" t="n">
        <f aca="false">IFERROR(L28/F28,0)</f>
        <v>0</v>
      </c>
      <c r="J28" s="17" t="n">
        <v>28031.65</v>
      </c>
      <c r="K28" s="17" t="n">
        <v>28789.86</v>
      </c>
      <c r="L28" s="17" t="n">
        <v>34975.39</v>
      </c>
      <c r="M28" s="18" t="n">
        <f aca="false">J28*P28</f>
        <v>0</v>
      </c>
      <c r="N28" s="18" t="n">
        <f aca="false">K28*Q28</f>
        <v>0</v>
      </c>
      <c r="O28" s="18" t="n">
        <f aca="false">L28*R28</f>
        <v>0</v>
      </c>
      <c r="P28" s="19"/>
      <c r="Q28" s="19"/>
      <c r="R28" s="19"/>
      <c r="S28" s="18" t="n">
        <f aca="false">J28-M28</f>
        <v>28031.65</v>
      </c>
      <c r="T28" s="18" t="n">
        <f aca="false">K28-N28</f>
        <v>28789.86</v>
      </c>
      <c r="U28" s="18" t="n">
        <f aca="false">L28-O28</f>
        <v>34975.39</v>
      </c>
      <c r="V28" s="1"/>
      <c r="W28" s="1"/>
    </row>
    <row r="29" customFormat="false" ht="15" hidden="false" customHeight="false" outlineLevel="0" collapsed="false">
      <c r="A29" s="1"/>
      <c r="B29" s="13" t="s">
        <v>39</v>
      </c>
      <c r="C29" s="14" t="s">
        <v>40</v>
      </c>
      <c r="D29" s="15"/>
      <c r="E29" s="15"/>
      <c r="F29" s="15"/>
      <c r="G29" s="16" t="n">
        <f aca="false">IFERROR(J29/D29,0)</f>
        <v>0</v>
      </c>
      <c r="H29" s="16" t="n">
        <f aca="false">IFERROR(K29/E29,0)</f>
        <v>0</v>
      </c>
      <c r="I29" s="16" t="n">
        <f aca="false">IFERROR(L29/F29,0)</f>
        <v>0</v>
      </c>
      <c r="J29" s="17" t="n">
        <v>3815.71</v>
      </c>
      <c r="K29" s="17" t="n">
        <v>5645.13</v>
      </c>
      <c r="L29" s="17" t="n">
        <v>8318.25</v>
      </c>
      <c r="M29" s="18" t="n">
        <f aca="false">J29*P29</f>
        <v>0</v>
      </c>
      <c r="N29" s="18" t="n">
        <f aca="false">K29*Q29</f>
        <v>0</v>
      </c>
      <c r="O29" s="18" t="n">
        <f aca="false">L29*R29</f>
        <v>0</v>
      </c>
      <c r="P29" s="19"/>
      <c r="Q29" s="19"/>
      <c r="R29" s="19"/>
      <c r="S29" s="18" t="n">
        <f aca="false">J29-M29</f>
        <v>3815.71</v>
      </c>
      <c r="T29" s="18" t="n">
        <f aca="false">K29-N29</f>
        <v>5645.13</v>
      </c>
      <c r="U29" s="18" t="n">
        <f aca="false">L29-O29</f>
        <v>8318.25</v>
      </c>
      <c r="V29" s="1"/>
      <c r="W29" s="1"/>
    </row>
    <row r="30" customFormat="false" ht="15" hidden="false" customHeight="false" outlineLevel="0" collapsed="false">
      <c r="A30" s="1"/>
      <c r="B30" s="13" t="s">
        <v>41</v>
      </c>
      <c r="C30" s="14" t="s">
        <v>28</v>
      </c>
      <c r="D30" s="15"/>
      <c r="E30" s="15"/>
      <c r="F30" s="15"/>
      <c r="G30" s="16" t="n">
        <f aca="false">IFERROR(J30/D30,0)</f>
        <v>0</v>
      </c>
      <c r="H30" s="16" t="n">
        <f aca="false">IFERROR(K30/E30,0)</f>
        <v>0</v>
      </c>
      <c r="I30" s="16" t="n">
        <f aca="false">IFERROR(L30/F30,0)</f>
        <v>0</v>
      </c>
      <c r="J30" s="17" t="n">
        <v>310</v>
      </c>
      <c r="K30" s="17" t="n">
        <v>270</v>
      </c>
      <c r="L30" s="17"/>
      <c r="M30" s="18" t="n">
        <f aca="false">J30*P30</f>
        <v>0</v>
      </c>
      <c r="N30" s="18" t="n">
        <f aca="false">K30*Q30</f>
        <v>0</v>
      </c>
      <c r="O30" s="18" t="n">
        <f aca="false">L30*R30</f>
        <v>0</v>
      </c>
      <c r="P30" s="19"/>
      <c r="Q30" s="19"/>
      <c r="R30" s="19"/>
      <c r="S30" s="18" t="n">
        <f aca="false">J30-M30</f>
        <v>310</v>
      </c>
      <c r="T30" s="18" t="n">
        <f aca="false">K30-N30</f>
        <v>270</v>
      </c>
      <c r="U30" s="18" t="n">
        <f aca="false">L30-O30</f>
        <v>0</v>
      </c>
      <c r="V30" s="1"/>
      <c r="W30" s="1"/>
    </row>
    <row r="31" customFormat="false" ht="15" hidden="false" customHeight="false" outlineLevel="0" collapsed="false">
      <c r="A31" s="1"/>
      <c r="B31" s="13" t="s">
        <v>42</v>
      </c>
      <c r="C31" s="14" t="s">
        <v>28</v>
      </c>
      <c r="D31" s="15"/>
      <c r="E31" s="15"/>
      <c r="F31" s="15"/>
      <c r="G31" s="16" t="n">
        <f aca="false">IFERROR(J31/D31,0)</f>
        <v>0</v>
      </c>
      <c r="H31" s="16" t="n">
        <f aca="false">IFERROR(K31/E31,0)</f>
        <v>0</v>
      </c>
      <c r="I31" s="16" t="n">
        <f aca="false">IFERROR(L31/F31,0)</f>
        <v>0</v>
      </c>
      <c r="J31" s="17"/>
      <c r="K31" s="17"/>
      <c r="L31" s="17" t="n">
        <v>340</v>
      </c>
      <c r="M31" s="18" t="n">
        <f aca="false">J31*P31</f>
        <v>0</v>
      </c>
      <c r="N31" s="18" t="n">
        <f aca="false">K31*Q31</f>
        <v>0</v>
      </c>
      <c r="O31" s="18" t="n">
        <f aca="false">L31*R31</f>
        <v>0</v>
      </c>
      <c r="P31" s="19"/>
      <c r="Q31" s="19"/>
      <c r="R31" s="19"/>
      <c r="S31" s="18" t="n">
        <f aca="false">J31-M31</f>
        <v>0</v>
      </c>
      <c r="T31" s="18" t="n">
        <f aca="false">K31-N31</f>
        <v>0</v>
      </c>
      <c r="U31" s="18" t="n">
        <f aca="false">L31-O31</f>
        <v>340</v>
      </c>
      <c r="V31" s="1"/>
      <c r="W31" s="1"/>
    </row>
    <row r="32" customFormat="false" ht="15" hidden="false" customHeight="false" outlineLevel="0" collapsed="false">
      <c r="A32" s="1"/>
      <c r="B32" s="20" t="s">
        <v>43</v>
      </c>
      <c r="C32" s="21" t="s">
        <v>28</v>
      </c>
      <c r="D32" s="15"/>
      <c r="E32" s="15"/>
      <c r="F32" s="15"/>
      <c r="G32" s="16" t="n">
        <f aca="false">IFERROR(J32/D32,0)</f>
        <v>0</v>
      </c>
      <c r="H32" s="16" t="n">
        <f aca="false">IFERROR(K32/E32,0)</f>
        <v>0</v>
      </c>
      <c r="I32" s="16" t="n">
        <f aca="false">IFERROR(L32/F32,0)</f>
        <v>0</v>
      </c>
      <c r="J32" s="17"/>
      <c r="K32" s="17"/>
      <c r="L32" s="17" t="n">
        <v>17.8</v>
      </c>
      <c r="M32" s="18" t="n">
        <f aca="false">J32*P32</f>
        <v>0</v>
      </c>
      <c r="N32" s="18" t="n">
        <f aca="false">K32*Q32</f>
        <v>0</v>
      </c>
      <c r="O32" s="18" t="n">
        <f aca="false">L32*R32</f>
        <v>0</v>
      </c>
      <c r="P32" s="19"/>
      <c r="Q32" s="19"/>
      <c r="R32" s="19"/>
      <c r="S32" s="18" t="n">
        <f aca="false">J32-M32</f>
        <v>0</v>
      </c>
      <c r="T32" s="18" t="n">
        <f aca="false">K32-N32</f>
        <v>0</v>
      </c>
      <c r="U32" s="18" t="n">
        <f aca="false">L32-O32</f>
        <v>17.8</v>
      </c>
      <c r="V32" s="1"/>
      <c r="W32" s="1"/>
    </row>
    <row r="33" customFormat="false" ht="15" hidden="false" customHeight="false" outlineLevel="0" collapsed="false">
      <c r="A33" s="1"/>
      <c r="B33" s="20" t="s">
        <v>44</v>
      </c>
      <c r="C33" s="21" t="s">
        <v>28</v>
      </c>
      <c r="D33" s="15"/>
      <c r="E33" s="15"/>
      <c r="F33" s="15"/>
      <c r="G33" s="16" t="n">
        <f aca="false">IFERROR(J33/D33,0)</f>
        <v>0</v>
      </c>
      <c r="H33" s="16" t="n">
        <f aca="false">IFERROR(K33/E33,0)</f>
        <v>0</v>
      </c>
      <c r="I33" s="16" t="n">
        <f aca="false">IFERROR(L33/F33,0)</f>
        <v>0</v>
      </c>
      <c r="J33" s="17" t="n">
        <v>172</v>
      </c>
      <c r="K33" s="17" t="n">
        <v>-100</v>
      </c>
      <c r="L33" s="17" t="n">
        <v>11920.58</v>
      </c>
      <c r="M33" s="18" t="n">
        <f aca="false">J33*P33</f>
        <v>0</v>
      </c>
      <c r="N33" s="18" t="n">
        <f aca="false">K33*Q33</f>
        <v>-0</v>
      </c>
      <c r="O33" s="18" t="n">
        <f aca="false">L33*R33</f>
        <v>0</v>
      </c>
      <c r="P33" s="19"/>
      <c r="Q33" s="19"/>
      <c r="R33" s="19"/>
      <c r="S33" s="18" t="n">
        <f aca="false">J33-M33</f>
        <v>172</v>
      </c>
      <c r="T33" s="18" t="n">
        <f aca="false">K33-N33</f>
        <v>-100</v>
      </c>
      <c r="U33" s="18" t="n">
        <f aca="false">L33-O33</f>
        <v>11920.58</v>
      </c>
      <c r="V33" s="1"/>
      <c r="W33" s="1"/>
    </row>
    <row r="34" customFormat="false" ht="15" hidden="false" customHeight="false" outlineLevel="0" collapsed="false">
      <c r="A34" s="1"/>
      <c r="B34" s="23" t="s">
        <v>45</v>
      </c>
      <c r="C34" s="24" t="s">
        <v>28</v>
      </c>
      <c r="D34" s="15"/>
      <c r="E34" s="15"/>
      <c r="F34" s="15"/>
      <c r="G34" s="16" t="n">
        <f aca="false">IFERROR(J34/D34,0)</f>
        <v>0</v>
      </c>
      <c r="H34" s="16" t="n">
        <f aca="false">IFERROR(K34/E34,0)</f>
        <v>0</v>
      </c>
      <c r="I34" s="16" t="n">
        <f aca="false">IFERROR(L34/F34,0)</f>
        <v>0</v>
      </c>
      <c r="J34" s="17" t="n">
        <v>2660.1</v>
      </c>
      <c r="K34" s="17" t="n">
        <v>10226.82</v>
      </c>
      <c r="L34" s="17" t="n">
        <v>3824.77</v>
      </c>
      <c r="M34" s="18" t="n">
        <f aca="false">J34*P34</f>
        <v>0</v>
      </c>
      <c r="N34" s="18" t="n">
        <f aca="false">K34*Q34</f>
        <v>0</v>
      </c>
      <c r="O34" s="18" t="n">
        <f aca="false">L34*R34</f>
        <v>0</v>
      </c>
      <c r="P34" s="19"/>
      <c r="Q34" s="19"/>
      <c r="R34" s="19"/>
      <c r="S34" s="18" t="n">
        <f aca="false">J34-M34</f>
        <v>2660.1</v>
      </c>
      <c r="T34" s="18" t="n">
        <f aca="false">K34-N34</f>
        <v>10226.82</v>
      </c>
      <c r="U34" s="18" t="n">
        <f aca="false">L34-O34</f>
        <v>3824.77</v>
      </c>
      <c r="V34" s="1"/>
      <c r="W34" s="1"/>
    </row>
    <row r="35" customFormat="false" ht="15" hidden="false" customHeight="false" outlineLevel="0" collapsed="false">
      <c r="A35" s="1"/>
      <c r="B35" s="25" t="s">
        <v>46</v>
      </c>
      <c r="C35" s="26"/>
      <c r="D35" s="27" t="s">
        <v>47</v>
      </c>
      <c r="E35" s="27" t="s">
        <v>47</v>
      </c>
      <c r="F35" s="27" t="s">
        <v>47</v>
      </c>
      <c r="G35" s="1"/>
      <c r="H35" s="1"/>
      <c r="I35" s="1"/>
      <c r="J35" s="28" t="n">
        <f aca="false">SUM(J17:J34)</f>
        <v>1996290.52</v>
      </c>
      <c r="K35" s="28" t="n">
        <f aca="false">SUM(K17:K34)</f>
        <v>2297353.81</v>
      </c>
      <c r="L35" s="28" t="n">
        <f aca="false">SUM(L17:L34)</f>
        <v>2241034.37</v>
      </c>
      <c r="M35" s="28" t="n">
        <f aca="false">SUM(M17:M34)</f>
        <v>0</v>
      </c>
      <c r="N35" s="28" t="n">
        <f aca="false">SUM(N17:N34)</f>
        <v>0</v>
      </c>
      <c r="O35" s="28" t="n">
        <f aca="false">SUM(O17:O34)</f>
        <v>0</v>
      </c>
      <c r="P35" s="29" t="n">
        <f aca="false">IFERROR(M35/J35,0)</f>
        <v>0</v>
      </c>
      <c r="Q35" s="29" t="n">
        <f aca="false">IFERROR(N35/K35,0)</f>
        <v>0</v>
      </c>
      <c r="R35" s="29" t="n">
        <f aca="false">IFERROR(O35/L35,0)</f>
        <v>0</v>
      </c>
      <c r="S35" s="28" t="n">
        <f aca="false">SUM(S17:S34)</f>
        <v>1996290.52</v>
      </c>
      <c r="T35" s="28" t="n">
        <f aca="false">SUM(T17:T34)</f>
        <v>2297353.81</v>
      </c>
      <c r="U35" s="28" t="n">
        <f aca="false">SUM(U17:U34)</f>
        <v>2241034.37</v>
      </c>
      <c r="V35" s="1"/>
      <c r="W35" s="1"/>
    </row>
    <row r="36" customFormat="false" ht="15" hidden="false" customHeight="false" outlineLevel="0" collapsed="false">
      <c r="A36" s="1"/>
      <c r="B36" s="30" t="s">
        <v>48</v>
      </c>
      <c r="C36" s="31" t="s">
        <v>22</v>
      </c>
      <c r="D36" s="32" t="n">
        <f aca="false">D17+D18+D19+D20+D21+D23+D24</f>
        <v>5684</v>
      </c>
      <c r="E36" s="32" t="n">
        <f aca="false">E17+E18+E19+E20+E21+E23+E24</f>
        <v>6199</v>
      </c>
      <c r="F36" s="32" t="n">
        <f aca="false">F17+F18+F19+F20+F21+F23+F24</f>
        <v>6341</v>
      </c>
      <c r="G36" s="33" t="n">
        <f aca="false">IFERROR(J36/D36,0)</f>
        <v>317.641196340605</v>
      </c>
      <c r="H36" s="33" t="n">
        <f aca="false">IFERROR(K36/E36,0)</f>
        <v>342.195929988708</v>
      </c>
      <c r="I36" s="33" t="n">
        <f aca="false">IFERROR(L36/F36,0)</f>
        <v>328.690917836303</v>
      </c>
      <c r="J36" s="34" t="n">
        <f aca="false">J17+J18+J19+J20+J21+J23+J24</f>
        <v>1805472.56</v>
      </c>
      <c r="K36" s="34" t="n">
        <f aca="false">K17+K18+K19+K20+K21+K23+K24</f>
        <v>2121272.57</v>
      </c>
      <c r="L36" s="34" t="n">
        <f aca="false">L17+L18+L19+L20+L21+L23+L24</f>
        <v>2084229.11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customFormat="false" ht="15" hidden="false" customHeight="false" outlineLevel="0" collapsed="false">
      <c r="A38" s="1"/>
      <c r="B38" s="35" t="s">
        <v>49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customFormat="false" ht="15" hidden="false" customHeight="false" outlineLevel="0" collapsed="false">
      <c r="A39" s="1"/>
      <c r="B39" s="36" t="s">
        <v>50</v>
      </c>
      <c r="C39" s="1"/>
      <c r="D39" s="1"/>
      <c r="E39" s="1"/>
      <c r="F39" s="1"/>
      <c r="G39" s="1"/>
      <c r="H39" s="1"/>
      <c r="I39" s="1"/>
      <c r="J39" s="9" t="n">
        <v>1996290.52</v>
      </c>
      <c r="K39" s="9" t="n">
        <v>2297353.81</v>
      </c>
      <c r="L39" s="9" t="n">
        <v>2241034.37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customFormat="false" ht="15" hidden="false" customHeight="false" outlineLevel="0" collapsed="false">
      <c r="A40" s="1"/>
      <c r="B40" s="36" t="s">
        <v>51</v>
      </c>
      <c r="C40" s="1"/>
      <c r="D40" s="1"/>
      <c r="E40" s="1"/>
      <c r="F40" s="1"/>
      <c r="G40" s="1"/>
      <c r="H40" s="1"/>
      <c r="I40" s="1"/>
      <c r="J40" s="9" t="n">
        <f aca="false">J35-J39</f>
        <v>0</v>
      </c>
      <c r="K40" s="9" t="n">
        <f aca="false">K35-K39</f>
        <v>0</v>
      </c>
      <c r="L40" s="9" t="n">
        <f aca="false">L35-L39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customFormat="false" ht="15" hidden="false" customHeight="false" outlineLevel="0" collapsed="false">
      <c r="A42" s="1"/>
      <c r="B42" s="35" t="s">
        <v>52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customFormat="false" ht="15" hidden="false" customHeight="false" outlineLevel="0" collapsed="false">
      <c r="A43" s="1"/>
      <c r="B43" s="1" t="s">
        <v>53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customFormat="false" ht="15" hidden="false" customHeight="false" outlineLevel="0" collapsed="false">
      <c r="A44" s="1"/>
      <c r="B44" s="1" t="s">
        <v>54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customFormat="false" ht="15" hidden="false" customHeight="false" outlineLevel="0" collapsed="false">
      <c r="A46" s="1"/>
      <c r="B46" s="37" t="s">
        <v>55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customFormat="false" ht="15" hidden="false" customHeight="false" outlineLevel="0" collapsed="false">
      <c r="A47" s="1"/>
      <c r="B47" s="1" t="s">
        <v>56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customFormat="false" ht="15" hidden="false" customHeight="false" outlineLevel="0" collapsed="false">
      <c r="A48" s="1"/>
      <c r="B48" s="1" t="s">
        <v>57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customFormat="false" ht="15" hidden="false" customHeight="false" outlineLevel="0" collapsed="false">
      <c r="A50" s="1"/>
      <c r="B50" s="1" t="s">
        <v>58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customFormat="false" ht="15" hidden="false" customHeight="false" outlineLevel="0" collapsed="false">
      <c r="A52" s="1"/>
      <c r="B52" s="37" t="s">
        <v>59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customFormat="false" ht="15" hidden="false" customHeight="false" outlineLevel="0" collapsed="false">
      <c r="A53" s="1"/>
      <c r="B53" s="1" t="s">
        <v>60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customFormat="false" ht="15" hidden="false" customHeight="false" outlineLevel="0" collapsed="false">
      <c r="A55" s="1"/>
      <c r="B55" s="38" t="s">
        <v>61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</sheetData>
  <mergeCells count="8">
    <mergeCell ref="B15:B16"/>
    <mergeCell ref="C15:C16"/>
    <mergeCell ref="D15:F15"/>
    <mergeCell ref="G15:I15"/>
    <mergeCell ref="J15:L15"/>
    <mergeCell ref="M15:O15"/>
    <mergeCell ref="P15:R15"/>
    <mergeCell ref="S15:U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54"/>
  </cols>
  <sheetData>
    <row r="1" customFormat="false" ht="18.55" hidden="false" customHeight="false" outlineLevel="0" collapsed="false">
      <c r="A1" s="1"/>
      <c r="B1" s="39" t="s">
        <v>62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8" t="s">
        <v>63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40" t="s">
        <v>64</v>
      </c>
      <c r="C4" s="40" t="s">
        <v>15</v>
      </c>
      <c r="D4" s="40" t="s">
        <v>65</v>
      </c>
      <c r="E4" s="40" t="s">
        <v>66</v>
      </c>
      <c r="F4" s="40" t="s">
        <v>67</v>
      </c>
      <c r="G4" s="1"/>
    </row>
    <row r="5" customFormat="false" ht="91.5" hidden="false" customHeight="true" outlineLevel="0" collapsed="false">
      <c r="A5" s="1"/>
      <c r="B5" s="41" t="s">
        <v>21</v>
      </c>
      <c r="C5" s="42" t="s">
        <v>22</v>
      </c>
      <c r="D5" s="43" t="s">
        <v>68</v>
      </c>
      <c r="E5" s="43" t="s">
        <v>69</v>
      </c>
      <c r="F5" s="43" t="s">
        <v>70</v>
      </c>
      <c r="G5" s="1"/>
    </row>
    <row r="6" customFormat="false" ht="91.5" hidden="false" customHeight="true" outlineLevel="0" collapsed="false">
      <c r="A6" s="1"/>
      <c r="B6" s="41" t="s">
        <v>23</v>
      </c>
      <c r="C6" s="42" t="s">
        <v>22</v>
      </c>
      <c r="D6" s="43" t="s">
        <v>71</v>
      </c>
      <c r="E6" s="43" t="s">
        <v>72</v>
      </c>
      <c r="F6" s="43" t="s">
        <v>73</v>
      </c>
      <c r="G6" s="1"/>
    </row>
    <row r="7" customFormat="false" ht="91.5" hidden="false" customHeight="true" outlineLevel="0" collapsed="false">
      <c r="A7" s="1"/>
      <c r="B7" s="41" t="s">
        <v>24</v>
      </c>
      <c r="C7" s="42" t="s">
        <v>22</v>
      </c>
      <c r="D7" s="43" t="s">
        <v>74</v>
      </c>
      <c r="E7" s="43" t="s">
        <v>75</v>
      </c>
      <c r="F7" s="43" t="s">
        <v>76</v>
      </c>
      <c r="G7" s="1"/>
    </row>
    <row r="8" customFormat="false" ht="91.5" hidden="false" customHeight="true" outlineLevel="0" collapsed="false">
      <c r="A8" s="1"/>
      <c r="B8" s="41" t="s">
        <v>25</v>
      </c>
      <c r="C8" s="42" t="s">
        <v>22</v>
      </c>
      <c r="D8" s="43" t="s">
        <v>77</v>
      </c>
      <c r="E8" s="43" t="s">
        <v>78</v>
      </c>
      <c r="F8" s="43" t="s">
        <v>79</v>
      </c>
      <c r="G8" s="1"/>
    </row>
    <row r="9" customFormat="false" ht="91.5" hidden="false" customHeight="true" outlineLevel="0" collapsed="false">
      <c r="A9" s="1"/>
      <c r="B9" s="41" t="s">
        <v>26</v>
      </c>
      <c r="C9" s="42" t="s">
        <v>22</v>
      </c>
      <c r="D9" s="43" t="s">
        <v>80</v>
      </c>
      <c r="E9" s="43" t="s">
        <v>81</v>
      </c>
      <c r="F9" s="43" t="s">
        <v>82</v>
      </c>
      <c r="G9" s="1"/>
    </row>
    <row r="10" customFormat="false" ht="91.5" hidden="false" customHeight="true" outlineLevel="0" collapsed="false">
      <c r="A10" s="1"/>
      <c r="B10" s="41" t="s">
        <v>27</v>
      </c>
      <c r="C10" s="42" t="s">
        <v>28</v>
      </c>
      <c r="D10" s="43" t="s">
        <v>83</v>
      </c>
      <c r="E10" s="43" t="s">
        <v>84</v>
      </c>
      <c r="F10" s="43" t="s">
        <v>85</v>
      </c>
      <c r="G10" s="1"/>
    </row>
    <row r="11" customFormat="false" ht="91.5" hidden="false" customHeight="true" outlineLevel="0" collapsed="false">
      <c r="A11" s="1"/>
      <c r="B11" s="41" t="s">
        <v>29</v>
      </c>
      <c r="C11" s="42" t="s">
        <v>22</v>
      </c>
      <c r="D11" s="43" t="s">
        <v>86</v>
      </c>
      <c r="E11" s="43" t="s">
        <v>87</v>
      </c>
      <c r="F11" s="43" t="s">
        <v>88</v>
      </c>
      <c r="G11" s="1"/>
    </row>
    <row r="12" customFormat="false" ht="91.5" hidden="false" customHeight="true" outlineLevel="0" collapsed="false">
      <c r="A12" s="1"/>
      <c r="B12" s="41" t="s">
        <v>30</v>
      </c>
      <c r="C12" s="42" t="s">
        <v>22</v>
      </c>
      <c r="D12" s="43" t="s">
        <v>89</v>
      </c>
      <c r="E12" s="43" t="s">
        <v>90</v>
      </c>
      <c r="F12" s="43" t="s">
        <v>91</v>
      </c>
      <c r="G12" s="1"/>
    </row>
    <row r="13" customFormat="false" ht="91.5" hidden="false" customHeight="true" outlineLevel="0" collapsed="false">
      <c r="A13" s="1"/>
      <c r="B13" s="41" t="s">
        <v>31</v>
      </c>
      <c r="C13" s="42" t="s">
        <v>32</v>
      </c>
      <c r="D13" s="43" t="s">
        <v>92</v>
      </c>
      <c r="E13" s="43" t="s">
        <v>93</v>
      </c>
      <c r="F13" s="43" t="s">
        <v>94</v>
      </c>
      <c r="G13" s="1"/>
    </row>
    <row r="14" customFormat="false" ht="91.5" hidden="false" customHeight="true" outlineLevel="0" collapsed="false">
      <c r="A14" s="1"/>
      <c r="B14" s="41" t="s">
        <v>33</v>
      </c>
      <c r="C14" s="42" t="s">
        <v>34</v>
      </c>
      <c r="D14" s="43" t="s">
        <v>95</v>
      </c>
      <c r="E14" s="43" t="s">
        <v>96</v>
      </c>
      <c r="F14" s="43" t="s">
        <v>97</v>
      </c>
      <c r="G14" s="1"/>
    </row>
    <row r="15" customFormat="false" ht="91.5" hidden="false" customHeight="true" outlineLevel="0" collapsed="false">
      <c r="A15" s="1"/>
      <c r="B15" s="41" t="s">
        <v>35</v>
      </c>
      <c r="C15" s="42" t="s">
        <v>36</v>
      </c>
      <c r="D15" s="43" t="s">
        <v>98</v>
      </c>
      <c r="E15" s="43" t="s">
        <v>99</v>
      </c>
      <c r="F15" s="43" t="s">
        <v>100</v>
      </c>
      <c r="G15" s="1"/>
    </row>
    <row r="16" customFormat="false" ht="91.5" hidden="false" customHeight="true" outlineLevel="0" collapsed="false">
      <c r="A16" s="1"/>
      <c r="B16" s="41" t="s">
        <v>37</v>
      </c>
      <c r="C16" s="42" t="s">
        <v>38</v>
      </c>
      <c r="D16" s="43" t="s">
        <v>101</v>
      </c>
      <c r="E16" s="43" t="s">
        <v>102</v>
      </c>
      <c r="F16" s="43" t="s">
        <v>103</v>
      </c>
      <c r="G16" s="1"/>
    </row>
    <row r="17" customFormat="false" ht="91.5" hidden="false" customHeight="true" outlineLevel="0" collapsed="false">
      <c r="A17" s="1"/>
      <c r="B17" s="41" t="s">
        <v>39</v>
      </c>
      <c r="C17" s="42" t="s">
        <v>40</v>
      </c>
      <c r="D17" s="43" t="s">
        <v>104</v>
      </c>
      <c r="E17" s="43" t="s">
        <v>105</v>
      </c>
      <c r="F17" s="43" t="s">
        <v>106</v>
      </c>
      <c r="G17" s="1"/>
    </row>
    <row r="18" customFormat="false" ht="91.5" hidden="false" customHeight="true" outlineLevel="0" collapsed="false">
      <c r="A18" s="1"/>
      <c r="B18" s="41" t="s">
        <v>41</v>
      </c>
      <c r="C18" s="42" t="s">
        <v>28</v>
      </c>
      <c r="D18" s="43" t="s">
        <v>107</v>
      </c>
      <c r="E18" s="43" t="s">
        <v>108</v>
      </c>
      <c r="F18" s="43" t="s">
        <v>109</v>
      </c>
      <c r="G18" s="1"/>
    </row>
    <row r="19" customFormat="false" ht="91.5" hidden="false" customHeight="true" outlineLevel="0" collapsed="false">
      <c r="A19" s="1"/>
      <c r="B19" s="41" t="s">
        <v>42</v>
      </c>
      <c r="C19" s="42" t="s">
        <v>28</v>
      </c>
      <c r="D19" s="43" t="s">
        <v>110</v>
      </c>
      <c r="E19" s="43" t="s">
        <v>108</v>
      </c>
      <c r="F19" s="43" t="s">
        <v>111</v>
      </c>
      <c r="G19" s="1"/>
    </row>
    <row r="20" customFormat="false" ht="91.5" hidden="false" customHeight="true" outlineLevel="0" collapsed="false">
      <c r="A20" s="1"/>
      <c r="B20" s="41" t="s">
        <v>43</v>
      </c>
      <c r="C20" s="42" t="s">
        <v>28</v>
      </c>
      <c r="D20" s="43" t="s">
        <v>112</v>
      </c>
      <c r="E20" s="43" t="s">
        <v>113</v>
      </c>
      <c r="F20" s="43" t="s">
        <v>114</v>
      </c>
      <c r="G20" s="1"/>
    </row>
    <row r="21" customFormat="false" ht="91.5" hidden="false" customHeight="true" outlineLevel="0" collapsed="false">
      <c r="A21" s="1"/>
      <c r="B21" s="41" t="s">
        <v>44</v>
      </c>
      <c r="C21" s="42" t="s">
        <v>28</v>
      </c>
      <c r="D21" s="43" t="s">
        <v>115</v>
      </c>
      <c r="E21" s="43" t="s">
        <v>116</v>
      </c>
      <c r="F21" s="43" t="s">
        <v>117</v>
      </c>
      <c r="G21" s="1"/>
    </row>
    <row r="22" customFormat="false" ht="91.5" hidden="false" customHeight="true" outlineLevel="0" collapsed="false">
      <c r="A22" s="1"/>
      <c r="B22" s="41" t="s">
        <v>45</v>
      </c>
      <c r="C22" s="42" t="s">
        <v>28</v>
      </c>
      <c r="D22" s="43" t="s">
        <v>118</v>
      </c>
      <c r="E22" s="43" t="s">
        <v>119</v>
      </c>
      <c r="F22" s="43" t="s">
        <v>120</v>
      </c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44" t="s">
        <v>121</v>
      </c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 t="s">
        <v>122</v>
      </c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 t="s">
        <v>123</v>
      </c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 t="s">
        <v>124</v>
      </c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 t="s">
        <v>125</v>
      </c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 t="s">
        <v>126</v>
      </c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 t="s">
        <v>127</v>
      </c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4" t="s">
        <v>128</v>
      </c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4" t="s">
        <v>129</v>
      </c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2026-07-28T16:04:55Z</dcterms:created>
  <dc:creator>openpyxl</dc:creator>
  <dc:description/>
  <dc:language>en-US</dc:language>
  <cp:lastModifiedBy/>
  <dcterms:modified xsi:type="dcterms:W3CDTF">2026-07-28T16:04:55Z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