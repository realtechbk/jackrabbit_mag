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c5f25a57fcf03a4/Desktop/working/RealTech/Clients/Maine Academy of Gymnastic/Output/"/>
    </mc:Choice>
  </mc:AlternateContent>
  <xr:revisionPtr revIDLastSave="4" documentId="11_C962766C00E0D309E319FE525EBEDCE93EC85F2A" xr6:coauthVersionLast="47" xr6:coauthVersionMax="47" xr10:uidLastSave="{107465F7-C4A1-44E1-BB3A-2C828AA3FBF1}"/>
  <bookViews>
    <workbookView xWindow="-28920" yWindow="-120" windowWidth="29040" windowHeight="15720" tabRatio="500" xr2:uid="{00000000-000D-0000-FFFF-FFFF00000000}"/>
  </bookViews>
  <sheets>
    <sheet name="Service Performance" sheetId="1" r:id="rId1"/>
    <sheet name="Notes &amp; 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1" l="1"/>
  <c r="G26" i="1"/>
  <c r="H24" i="1"/>
  <c r="F24" i="1" s="1"/>
  <c r="G24" i="1"/>
  <c r="C6" i="1" s="1"/>
  <c r="D24" i="1"/>
  <c r="D5" i="1" s="1"/>
  <c r="C24" i="1"/>
  <c r="C5" i="1" s="1"/>
  <c r="H23" i="1"/>
  <c r="G23" i="1"/>
  <c r="H22" i="1"/>
  <c r="J22" i="1" s="1"/>
  <c r="G22" i="1"/>
  <c r="I22" i="1" s="1"/>
  <c r="J21" i="1"/>
  <c r="I21" i="1"/>
  <c r="H21" i="1"/>
  <c r="N21" i="1" s="1"/>
  <c r="G21" i="1"/>
  <c r="M21" i="1" s="1"/>
  <c r="H20" i="1"/>
  <c r="J20" i="1" s="1"/>
  <c r="G20" i="1"/>
  <c r="I20" i="1" s="1"/>
  <c r="J19" i="1"/>
  <c r="N19" i="1" s="1"/>
  <c r="I19" i="1"/>
  <c r="M19" i="1" s="1"/>
  <c r="H19" i="1"/>
  <c r="G19" i="1"/>
  <c r="H18" i="1"/>
  <c r="J18" i="1" s="1"/>
  <c r="G18" i="1"/>
  <c r="I18" i="1" s="1"/>
  <c r="H17" i="1"/>
  <c r="G17" i="1"/>
  <c r="H16" i="1"/>
  <c r="J16" i="1" s="1"/>
  <c r="N16" i="1" s="1"/>
  <c r="G16" i="1"/>
  <c r="I16" i="1" s="1"/>
  <c r="M16" i="1" s="1"/>
  <c r="H15" i="1"/>
  <c r="G15" i="1"/>
  <c r="N17" i="1" l="1"/>
  <c r="N23" i="1"/>
  <c r="I15" i="1"/>
  <c r="M20" i="1"/>
  <c r="I23" i="1"/>
  <c r="M23" i="1" s="1"/>
  <c r="J15" i="1"/>
  <c r="J24" i="1" s="1"/>
  <c r="N20" i="1"/>
  <c r="C7" i="1"/>
  <c r="E24" i="1"/>
  <c r="I17" i="1"/>
  <c r="M17" i="1" s="1"/>
  <c r="M22" i="1"/>
  <c r="J17" i="1"/>
  <c r="N22" i="1"/>
  <c r="J23" i="1"/>
  <c r="M18" i="1"/>
  <c r="D6" i="1"/>
  <c r="N18" i="1"/>
  <c r="D7" i="1"/>
  <c r="I26" i="1"/>
  <c r="M26" i="1" s="1"/>
  <c r="J26" i="1"/>
  <c r="N26" i="1" s="1"/>
  <c r="I24" i="1" l="1"/>
  <c r="D9" i="1"/>
  <c r="L24" i="1"/>
  <c r="M15" i="1"/>
  <c r="M24" i="1" s="1"/>
  <c r="N15" i="1"/>
  <c r="N24" i="1" s="1"/>
  <c r="C11" i="1" l="1"/>
  <c r="C12" i="1"/>
  <c r="D11" i="1"/>
  <c r="D12" i="1"/>
  <c r="C9" i="1"/>
  <c r="K24" i="1"/>
</calcChain>
</file>

<file path=xl/sharedStrings.xml><?xml version="1.0" encoding="utf-8"?>
<sst xmlns="http://schemas.openxmlformats.org/spreadsheetml/2006/main" count="98" uniqueCount="77">
  <si>
    <t>Maine Academy of Gymnastics</t>
  </si>
  <si>
    <t>Service Line Performance — Last Year vs. This Year Target</t>
  </si>
  <si>
    <t>Last Year</t>
  </si>
  <si>
    <t>This Year Target</t>
  </si>
  <si>
    <t>Sales Transactions</t>
  </si>
  <si>
    <t>Average Sales Transaction Value</t>
  </si>
  <si>
    <t>Total Revenue</t>
  </si>
  <si>
    <t>Cost of Sales (as a % of Revenue)</t>
  </si>
  <si>
    <t>Gross Profit</t>
  </si>
  <si>
    <t>Gross Profit (as a % of Revenue)</t>
  </si>
  <si>
    <t>Product/Service</t>
  </si>
  <si>
    <t># Sales Transactions</t>
  </si>
  <si>
    <t>Avg. Sales Transaction Value</t>
  </si>
  <si>
    <t>Total Cost of Sales</t>
  </si>
  <si>
    <t>Cost of Sales %</t>
  </si>
  <si>
    <t>Total Gross Profit</t>
  </si>
  <si>
    <t>Preschool — The Jungle</t>
  </si>
  <si>
    <t>Girls Recreational — Wings</t>
  </si>
  <si>
    <t>Boys Recreational — Wings</t>
  </si>
  <si>
    <t>Tumbling</t>
  </si>
  <si>
    <t>Pre-Team</t>
  </si>
  <si>
    <t>Competitive Teams — American Flyers</t>
  </si>
  <si>
    <t>Open Gym</t>
  </si>
  <si>
    <t>Annual Membership Fees</t>
  </si>
  <si>
    <t>Hosted Meets — American Flyers Cup</t>
  </si>
  <si>
    <t>TOTAL — All Services</t>
  </si>
  <si>
    <t>EXAMPLE — shows expected format. Delete this row before use.</t>
  </si>
  <si>
    <t>(example) Girls Recreational — Wings</t>
  </si>
  <si>
    <t>HOW TO USE THIS SHEET</t>
  </si>
  <si>
    <t>Fill in the BLUE-TEXT cells only:  # Sales Transactions,  Avg. Sales Transaction Value,  Cost of Sales %.</t>
  </si>
  <si>
    <t>Everything else calculates:  Revenue = Transactions x Avg Value  ·  Cost of Sales = Revenue x COS%  ·  Gross Profit = Revenue - Cost of Sales.</t>
  </si>
  <si>
    <t>Light-blue cells are formulas — do not overwrite them. The summary block at the top rolls up from the TOTAL row automatically.</t>
  </si>
  <si>
    <t>IMPORTANT — Cost of Sales is not in Jackrabbit.</t>
  </si>
  <si>
    <t>Jackrabbit has no COGS concept. For a gym, cost of sales is essentially coach labour: coach hourly rate x class hours per month.</t>
  </si>
  <si>
    <t>Build it from payroll and the class schedule, then enter it here as a % of that service's revenue.</t>
  </si>
  <si>
    <t>Note on transaction counts: tuition bills monthly, so one transaction = one monthly charge, not one customer.</t>
  </si>
  <si>
    <t>Expect Avg. Transaction Value on tuition rows to look like a month of tuition. Open Gym and Membership Fees are true one-off charges.</t>
  </si>
  <si>
    <t>See the 'Notes &amp; Sources' tab for which Jackrabbit report feeds each column.</t>
  </si>
  <si>
    <t>Where each column comes from</t>
  </si>
  <si>
    <t>Jackrabbit Class — report names verified against help.jackrabbitclass.com, July 2026</t>
  </si>
  <si>
    <t>Column in this workbook</t>
  </si>
  <si>
    <t>Jackrabbit report</t>
  </si>
  <si>
    <t>Notes</t>
  </si>
  <si>
    <t>Transaction Listing Report  ·  Transaction Summary Report</t>
  </si>
  <si>
    <t>Transaction Listing gives line-item rows you can count and pivot. Transaction Summary gives counts and totals by type.</t>
  </si>
  <si>
    <t>— calculated —</t>
  </si>
  <si>
    <t>Total Revenue divided by # Transactions. Not a report.</t>
  </si>
  <si>
    <t>Class/Event Revenue Summary  ·  Revenue Summary Report</t>
  </si>
  <si>
    <t>Class/Event Revenue attributes revenue per class. Revenue Summary groups by transaction type/sub-type.</t>
  </si>
  <si>
    <t>NOT AVAILABLE IN JACKRABBIT</t>
  </si>
  <si>
    <t>Must be built from payroll: coach hourly rate x class hours. Jackrabbit tracks no cost of goods.</t>
  </si>
  <si>
    <t>Cost of Sales divided by Revenue.</t>
  </si>
  <si>
    <t>Revenue minus Cost of Sales.</t>
  </si>
  <si>
    <t>Price per class (for reference)</t>
  </si>
  <si>
    <t>Class Listing Report (Classes &gt; Reports)</t>
  </si>
  <si>
    <t>Tuition sits on the class record, not in any revenue report.</t>
  </si>
  <si>
    <t>Enrolled students (denominator)</t>
  </si>
  <si>
    <t>Enrollment Snapshot  ·  Enrollment Detail Report</t>
  </si>
  <si>
    <t>Needed to compute revenue per enrolled student.</t>
  </si>
  <si>
    <t>Attrition by program</t>
  </si>
  <si>
    <t>Drop History Report</t>
  </si>
  <si>
    <t>Shows which service lines leak students.</t>
  </si>
  <si>
    <t>Collected vs. billed</t>
  </si>
  <si>
    <t>Paid Fees Report  vs.  Fee Summary Report</t>
  </si>
  <si>
    <t>Paid Fees = collected. Fee Summary = billed. Pick one basis and keep it constant all 12 months.</t>
  </si>
  <si>
    <t>Uncollected revenue</t>
  </si>
  <si>
    <t>Aged Accounts Summary Report</t>
  </si>
  <si>
    <t>How much of billed revenue is still outstanding.</t>
  </si>
  <si>
    <t>Card mix</t>
  </si>
  <si>
    <t>Payment Method Summary Report</t>
  </si>
  <si>
    <t>Relevant given the site accepts Visa/Mastercard/Discover only — no Amex.</t>
  </si>
  <si>
    <t>SET THIS UP FIRST</t>
  </si>
  <si>
    <t>Gear icon &gt; Settings &gt; Drop-down Lists &gt; Class Category 1 — every class must be tagged to a service group,</t>
  </si>
  <si>
    <t>or revenue will not roll up to the nine rows on the Service Performance tab.</t>
  </si>
  <si>
    <t>Gear icon &gt; Settings &gt; Drop-down Lists &gt; Transaction Types / Sub-types — tuition, the $45 membership fee,</t>
  </si>
  <si>
    <t>Open Gym, and meet fees each need their own sub-type, or they cannot be separated.</t>
  </si>
  <si>
    <t>Caveat: report names confirmed from Jackrabbit's help index, but its help pages render client-side, so exact column lists per report were not readable. Verify available fields in-app.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</si>
</sst>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\$#,##0;&quot;($&quot;#,##0\);\-"/>
    <numFmt numFmtId="166" formatCode="0.0%;\(0.0%\);\-"/>
  </numFmts>
  <fonts count="18" x14ac:knownFonts="1">
    <font>
      <sz val="11"/>
      <color theme="1"/>
      <name val="Calibri"/>
      <family val="2"/>
      <charset val="1"/>
    </font>
    <font>
      <sz val="10"/>
      <color rgb="FFFFFFFF"/>
      <name val="Arial"/>
      <charset val="1"/>
    </font>
    <font>
      <b/>
      <sz val="16"/>
      <color rgb="FFFFFFFF"/>
      <name val="Arial"/>
      <charset val="1"/>
    </font>
    <font>
      <sz val="11"/>
      <color rgb="FFC9D1E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1F2937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9"/>
      <color rgb="FFFFD479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D479"/>
      <name val="Arial"/>
      <charset val="1"/>
    </font>
    <font>
      <i/>
      <sz val="10"/>
      <color rgb="FFC9D1E0"/>
      <name val="Arial"/>
      <charset val="1"/>
    </font>
    <font>
      <b/>
      <sz val="14"/>
      <color rgb="FFFFFFFF"/>
      <name val="Arial"/>
      <charset val="1"/>
    </font>
    <font>
      <sz val="10"/>
      <color rgb="FF1F2937"/>
      <name val="Arial"/>
      <charset val="1"/>
    </font>
    <font>
      <b/>
      <sz val="11"/>
      <color rgb="FFFFD479"/>
      <name val="Arial"/>
      <charset val="1"/>
    </font>
    <font>
      <i/>
      <sz val="9"/>
      <color rgb="FFC9D1E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8B3DD7"/>
        <bgColor rgb="FF993366"/>
      </patternFill>
    </fill>
    <fill>
      <patternFill patternType="solid">
        <fgColor rgb="FFFFFFFF"/>
        <bgColor rgb="FFFFFFCC"/>
      </patternFill>
    </fill>
    <fill>
      <patternFill patternType="solid">
        <fgColor rgb="FFD6DEF5"/>
        <bgColor rgb="FFDCE3F2"/>
      </patternFill>
    </fill>
    <fill>
      <patternFill patternType="solid">
        <fgColor rgb="FFDCE3F2"/>
        <bgColor rgb="FFD6DEF5"/>
      </patternFill>
    </fill>
    <fill>
      <patternFill patternType="solid">
        <fgColor rgb="FFB9C4DC"/>
        <bgColor rgb="FFC9D1E0"/>
      </patternFill>
    </fill>
    <fill>
      <patternFill patternType="solid">
        <fgColor rgb="FF4A5468"/>
        <bgColor rgb="FF5A6478"/>
      </patternFill>
    </fill>
    <fill>
      <patternFill patternType="solid">
        <fgColor rgb="FF5A6478"/>
        <bgColor rgb="FF4A5468"/>
      </patternFill>
    </fill>
  </fills>
  <borders count="2">
    <border>
      <left/>
      <right/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164" fontId="5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 indent="1"/>
    </xf>
    <xf numFmtId="164" fontId="7" fillId="4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165" fontId="8" fillId="6" borderId="1" xfId="0" applyNumberFormat="1" applyFont="1" applyFill="1" applyBorder="1" applyAlignment="1">
      <alignment horizontal="center"/>
    </xf>
    <xf numFmtId="166" fontId="7" fillId="4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indent="1"/>
    </xf>
    <xf numFmtId="164" fontId="5" fillId="7" borderId="1" xfId="0" applyNumberFormat="1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166" fontId="5" fillId="7" borderId="1" xfId="0" applyNumberFormat="1" applyFont="1" applyFill="1" applyBorder="1" applyAlignment="1">
      <alignment horizontal="center"/>
    </xf>
    <xf numFmtId="0" fontId="9" fillId="2" borderId="0" xfId="0" applyFont="1" applyFill="1"/>
    <xf numFmtId="0" fontId="10" fillId="8" borderId="1" xfId="0" applyFont="1" applyFill="1" applyBorder="1" applyAlignment="1">
      <alignment horizontal="left" indent="1"/>
    </xf>
    <xf numFmtId="164" fontId="10" fillId="9" borderId="1" xfId="0" applyNumberFormat="1" applyFont="1" applyFill="1" applyBorder="1" applyAlignment="1">
      <alignment horizontal="center"/>
    </xf>
    <xf numFmtId="165" fontId="10" fillId="9" borderId="1" xfId="0" applyNumberFormat="1" applyFont="1" applyFill="1" applyBorder="1" applyAlignment="1">
      <alignment horizontal="center"/>
    </xf>
    <xf numFmtId="166" fontId="10" fillId="9" borderId="1" xfId="0" applyNumberFormat="1" applyFont="1" applyFill="1" applyBorder="1" applyAlignment="1">
      <alignment horizontal="center"/>
    </xf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6" fillId="4" borderId="1" xfId="0" applyFont="1" applyFill="1" applyBorder="1" applyAlignment="1">
      <alignment horizontal="left" vertical="top" wrapText="1" indent="1"/>
    </xf>
    <xf numFmtId="0" fontId="15" fillId="6" borderId="1" xfId="0" applyFont="1" applyFill="1" applyBorder="1" applyAlignment="1">
      <alignment horizontal="left" vertical="top" wrapText="1" indent="1"/>
    </xf>
    <xf numFmtId="0" fontId="16" fillId="2" borderId="0" xfId="0" applyFont="1" applyFill="1"/>
    <xf numFmtId="0" fontId="1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DC"/>
      <rgbColor rgb="FF808080"/>
      <rgbColor rgb="FF9999FF"/>
      <rgbColor rgb="FF8B3DD7"/>
      <rgbColor rgb="FFFFFFCC"/>
      <rgbColor rgb="FFDCE3F2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CCFFCC"/>
      <rgbColor rgb="FFFFFF99"/>
      <rgbColor rgb="FF99CCFF"/>
      <rgbColor rgb="FFFF99CC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5A6478"/>
      <rgbColor rgb="FF9AA3B2"/>
      <rgbColor rgb="FF003366"/>
      <rgbColor rgb="FF339966"/>
      <rgbColor rgb="FF003300"/>
      <rgbColor rgb="FF1F2937"/>
      <rgbColor rgb="FF993300"/>
      <rgbColor rgb="FF993366"/>
      <rgbColor rgb="FF4A5468"/>
      <rgbColor rgb="FF2F36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showGridLines="0" tabSelected="1" zoomScaleNormal="10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activeCell="F9" sqref="F9"/>
    </sheetView>
  </sheetViews>
  <sheetFormatPr defaultColWidth="8.7109375" defaultRowHeight="15" x14ac:dyDescent="0.25"/>
  <cols>
    <col min="1" max="1" width="2" customWidth="1"/>
    <col min="2" max="2" width="125.140625" bestFit="1" customWidth="1"/>
    <col min="3" max="14" width="15" customWidth="1"/>
    <col min="15" max="15" width="2" customWidth="1"/>
  </cols>
  <sheetData>
    <row r="1" spans="1:16" ht="20.25" x14ac:dyDescent="0.3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2"/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2"/>
      <c r="B4" s="2"/>
      <c r="C4" s="5" t="s">
        <v>2</v>
      </c>
      <c r="D4" s="5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/>
      <c r="B5" s="6" t="s">
        <v>4</v>
      </c>
      <c r="C5" s="7">
        <f>C24</f>
        <v>0</v>
      </c>
      <c r="D5" s="7">
        <f>D24</f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6" t="s">
        <v>5</v>
      </c>
      <c r="C6" s="8">
        <f>IFERROR(G24/C24,0)</f>
        <v>0</v>
      </c>
      <c r="D6" s="8">
        <f>IFERROR(H24/D24,0)</f>
        <v>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6" t="s">
        <v>6</v>
      </c>
      <c r="C7" s="8">
        <f>G24</f>
        <v>0</v>
      </c>
      <c r="D7" s="8">
        <f>H24</f>
        <v>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6" t="s">
        <v>7</v>
      </c>
      <c r="C9" s="9">
        <f>IFERROR(I24/G24,0)</f>
        <v>0</v>
      </c>
      <c r="D9" s="9">
        <f>IFERROR(J24/H24,0)</f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6" t="s">
        <v>8</v>
      </c>
      <c r="C11" s="8">
        <f>M24</f>
        <v>0</v>
      </c>
      <c r="D11" s="8">
        <f>N24</f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6" t="s">
        <v>9</v>
      </c>
      <c r="C12" s="9">
        <f>IFERROR(M24/G24,0)</f>
        <v>0</v>
      </c>
      <c r="D12" s="9">
        <f>IFERROR(N24/H24,0)</f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5" customHeight="1" x14ac:dyDescent="0.25">
      <c r="A13" s="2"/>
      <c r="B13" s="1" t="s">
        <v>10</v>
      </c>
      <c r="C13" s="1" t="s">
        <v>11</v>
      </c>
      <c r="D13" s="1"/>
      <c r="E13" s="1" t="s">
        <v>12</v>
      </c>
      <c r="F13" s="1"/>
      <c r="G13" s="1" t="s">
        <v>6</v>
      </c>
      <c r="H13" s="1"/>
      <c r="I13" s="1" t="s">
        <v>13</v>
      </c>
      <c r="J13" s="1"/>
      <c r="K13" s="1" t="s">
        <v>14</v>
      </c>
      <c r="L13" s="1"/>
      <c r="M13" s="1" t="s">
        <v>15</v>
      </c>
      <c r="N13" s="1"/>
      <c r="O13" s="2"/>
      <c r="P13" s="2"/>
    </row>
    <row r="14" spans="1:16" x14ac:dyDescent="0.25">
      <c r="A14" s="2"/>
      <c r="B14" s="1"/>
      <c r="C14" s="5" t="s">
        <v>2</v>
      </c>
      <c r="D14" s="5" t="s">
        <v>3</v>
      </c>
      <c r="E14" s="5" t="s">
        <v>2</v>
      </c>
      <c r="F14" s="5" t="s">
        <v>3</v>
      </c>
      <c r="G14" s="5" t="s">
        <v>2</v>
      </c>
      <c r="H14" s="5" t="s">
        <v>3</v>
      </c>
      <c r="I14" s="5" t="s">
        <v>2</v>
      </c>
      <c r="J14" s="5" t="s">
        <v>3</v>
      </c>
      <c r="K14" s="5" t="s">
        <v>2</v>
      </c>
      <c r="L14" s="5" t="s">
        <v>3</v>
      </c>
      <c r="M14" s="5" t="s">
        <v>2</v>
      </c>
      <c r="N14" s="5" t="s">
        <v>3</v>
      </c>
      <c r="O14" s="2"/>
      <c r="P14" s="2"/>
    </row>
    <row r="15" spans="1:16" x14ac:dyDescent="0.25">
      <c r="A15" s="2"/>
      <c r="B15" s="10" t="s">
        <v>16</v>
      </c>
      <c r="C15" s="11"/>
      <c r="D15" s="11"/>
      <c r="E15" s="12"/>
      <c r="F15" s="12"/>
      <c r="G15" s="13">
        <f t="shared" ref="G15:G23" si="0">C15*E15</f>
        <v>0</v>
      </c>
      <c r="H15" s="13">
        <f t="shared" ref="H15:H23" si="1">D15*F15</f>
        <v>0</v>
      </c>
      <c r="I15" s="13">
        <f t="shared" ref="I15:I23" si="2">G15*K15</f>
        <v>0</v>
      </c>
      <c r="J15" s="13">
        <f t="shared" ref="J15:J23" si="3">H15*L15</f>
        <v>0</v>
      </c>
      <c r="K15" s="14"/>
      <c r="L15" s="14"/>
      <c r="M15" s="13">
        <f t="shared" ref="M15:M23" si="4">G15-I15</f>
        <v>0</v>
      </c>
      <c r="N15" s="13">
        <f t="shared" ref="N15:N23" si="5">H15-J15</f>
        <v>0</v>
      </c>
      <c r="O15" s="2"/>
      <c r="P15" s="2"/>
    </row>
    <row r="16" spans="1:16" x14ac:dyDescent="0.25">
      <c r="A16" s="2"/>
      <c r="B16" s="10" t="s">
        <v>17</v>
      </c>
      <c r="C16" s="11"/>
      <c r="D16" s="11"/>
      <c r="E16" s="12"/>
      <c r="F16" s="12"/>
      <c r="G16" s="13">
        <f t="shared" si="0"/>
        <v>0</v>
      </c>
      <c r="H16" s="13">
        <f t="shared" si="1"/>
        <v>0</v>
      </c>
      <c r="I16" s="13">
        <f t="shared" si="2"/>
        <v>0</v>
      </c>
      <c r="J16" s="13">
        <f t="shared" si="3"/>
        <v>0</v>
      </c>
      <c r="K16" s="14"/>
      <c r="L16" s="14"/>
      <c r="M16" s="13">
        <f t="shared" si="4"/>
        <v>0</v>
      </c>
      <c r="N16" s="13">
        <f t="shared" si="5"/>
        <v>0</v>
      </c>
      <c r="O16" s="2"/>
      <c r="P16" s="2"/>
    </row>
    <row r="17" spans="1:16" x14ac:dyDescent="0.25">
      <c r="A17" s="2"/>
      <c r="B17" s="10" t="s">
        <v>18</v>
      </c>
      <c r="C17" s="11"/>
      <c r="D17" s="11"/>
      <c r="E17" s="12"/>
      <c r="F17" s="12"/>
      <c r="G17" s="13">
        <f t="shared" si="0"/>
        <v>0</v>
      </c>
      <c r="H17" s="13">
        <f t="shared" si="1"/>
        <v>0</v>
      </c>
      <c r="I17" s="13">
        <f t="shared" si="2"/>
        <v>0</v>
      </c>
      <c r="J17" s="13">
        <f t="shared" si="3"/>
        <v>0</v>
      </c>
      <c r="K17" s="14"/>
      <c r="L17" s="14"/>
      <c r="M17" s="13">
        <f t="shared" si="4"/>
        <v>0</v>
      </c>
      <c r="N17" s="13">
        <f t="shared" si="5"/>
        <v>0</v>
      </c>
      <c r="O17" s="2"/>
      <c r="P17" s="2"/>
    </row>
    <row r="18" spans="1:16" x14ac:dyDescent="0.25">
      <c r="A18" s="2"/>
      <c r="B18" s="10" t="s">
        <v>19</v>
      </c>
      <c r="C18" s="11"/>
      <c r="D18" s="11"/>
      <c r="E18" s="12"/>
      <c r="F18" s="12"/>
      <c r="G18" s="13">
        <f t="shared" si="0"/>
        <v>0</v>
      </c>
      <c r="H18" s="13">
        <f t="shared" si="1"/>
        <v>0</v>
      </c>
      <c r="I18" s="13">
        <f t="shared" si="2"/>
        <v>0</v>
      </c>
      <c r="J18" s="13">
        <f t="shared" si="3"/>
        <v>0</v>
      </c>
      <c r="K18" s="14"/>
      <c r="L18" s="14"/>
      <c r="M18" s="13">
        <f t="shared" si="4"/>
        <v>0</v>
      </c>
      <c r="N18" s="13">
        <f t="shared" si="5"/>
        <v>0</v>
      </c>
      <c r="O18" s="2"/>
      <c r="P18" s="2"/>
    </row>
    <row r="19" spans="1:16" x14ac:dyDescent="0.25">
      <c r="A19" s="2"/>
      <c r="B19" s="10" t="s">
        <v>20</v>
      </c>
      <c r="C19" s="11"/>
      <c r="D19" s="11"/>
      <c r="E19" s="12"/>
      <c r="F19" s="12"/>
      <c r="G19" s="13">
        <f t="shared" si="0"/>
        <v>0</v>
      </c>
      <c r="H19" s="13">
        <f t="shared" si="1"/>
        <v>0</v>
      </c>
      <c r="I19" s="13">
        <f t="shared" si="2"/>
        <v>0</v>
      </c>
      <c r="J19" s="13">
        <f t="shared" si="3"/>
        <v>0</v>
      </c>
      <c r="K19" s="14"/>
      <c r="L19" s="14"/>
      <c r="M19" s="13">
        <f t="shared" si="4"/>
        <v>0</v>
      </c>
      <c r="N19" s="13">
        <f t="shared" si="5"/>
        <v>0</v>
      </c>
      <c r="O19" s="2"/>
      <c r="P19" s="2"/>
    </row>
    <row r="20" spans="1:16" x14ac:dyDescent="0.25">
      <c r="A20" s="2"/>
      <c r="B20" s="10" t="s">
        <v>21</v>
      </c>
      <c r="C20" s="11"/>
      <c r="D20" s="11"/>
      <c r="E20" s="12"/>
      <c r="F20" s="12"/>
      <c r="G20" s="13">
        <f t="shared" si="0"/>
        <v>0</v>
      </c>
      <c r="H20" s="13">
        <f t="shared" si="1"/>
        <v>0</v>
      </c>
      <c r="I20" s="13">
        <f t="shared" si="2"/>
        <v>0</v>
      </c>
      <c r="J20" s="13">
        <f t="shared" si="3"/>
        <v>0</v>
      </c>
      <c r="K20" s="14"/>
      <c r="L20" s="14"/>
      <c r="M20" s="13">
        <f t="shared" si="4"/>
        <v>0</v>
      </c>
      <c r="N20" s="13">
        <f t="shared" si="5"/>
        <v>0</v>
      </c>
      <c r="O20" s="2"/>
      <c r="P20" s="2"/>
    </row>
    <row r="21" spans="1:16" x14ac:dyDescent="0.25">
      <c r="A21" s="2"/>
      <c r="B21" s="10" t="s">
        <v>22</v>
      </c>
      <c r="C21" s="11"/>
      <c r="D21" s="11"/>
      <c r="E21" s="12"/>
      <c r="F21" s="12"/>
      <c r="G21" s="13">
        <f t="shared" si="0"/>
        <v>0</v>
      </c>
      <c r="H21" s="13">
        <f t="shared" si="1"/>
        <v>0</v>
      </c>
      <c r="I21" s="13">
        <f t="shared" si="2"/>
        <v>0</v>
      </c>
      <c r="J21" s="13">
        <f t="shared" si="3"/>
        <v>0</v>
      </c>
      <c r="K21" s="14"/>
      <c r="L21" s="14"/>
      <c r="M21" s="13">
        <f t="shared" si="4"/>
        <v>0</v>
      </c>
      <c r="N21" s="13">
        <f t="shared" si="5"/>
        <v>0</v>
      </c>
      <c r="O21" s="2"/>
      <c r="P21" s="2"/>
    </row>
    <row r="22" spans="1:16" x14ac:dyDescent="0.25">
      <c r="A22" s="2"/>
      <c r="B22" s="10" t="s">
        <v>23</v>
      </c>
      <c r="C22" s="11"/>
      <c r="D22" s="11"/>
      <c r="E22" s="12"/>
      <c r="F22" s="12"/>
      <c r="G22" s="13">
        <f t="shared" si="0"/>
        <v>0</v>
      </c>
      <c r="H22" s="13">
        <f t="shared" si="1"/>
        <v>0</v>
      </c>
      <c r="I22" s="13">
        <f t="shared" si="2"/>
        <v>0</v>
      </c>
      <c r="J22" s="13">
        <f t="shared" si="3"/>
        <v>0</v>
      </c>
      <c r="K22" s="14"/>
      <c r="L22" s="14"/>
      <c r="M22" s="13">
        <f t="shared" si="4"/>
        <v>0</v>
      </c>
      <c r="N22" s="13">
        <f t="shared" si="5"/>
        <v>0</v>
      </c>
      <c r="O22" s="2"/>
      <c r="P22" s="2"/>
    </row>
    <row r="23" spans="1:16" x14ac:dyDescent="0.25">
      <c r="A23" s="2"/>
      <c r="B23" s="10" t="s">
        <v>24</v>
      </c>
      <c r="C23" s="11"/>
      <c r="D23" s="11"/>
      <c r="E23" s="12"/>
      <c r="F23" s="12"/>
      <c r="G23" s="13">
        <f t="shared" si="0"/>
        <v>0</v>
      </c>
      <c r="H23" s="13">
        <f t="shared" si="1"/>
        <v>0</v>
      </c>
      <c r="I23" s="13">
        <f t="shared" si="2"/>
        <v>0</v>
      </c>
      <c r="J23" s="13">
        <f t="shared" si="3"/>
        <v>0</v>
      </c>
      <c r="K23" s="14"/>
      <c r="L23" s="14"/>
      <c r="M23" s="13">
        <f t="shared" si="4"/>
        <v>0</v>
      </c>
      <c r="N23" s="13">
        <f t="shared" si="5"/>
        <v>0</v>
      </c>
      <c r="O23" s="2"/>
      <c r="P23" s="2"/>
    </row>
    <row r="24" spans="1:16" x14ac:dyDescent="0.25">
      <c r="A24" s="2"/>
      <c r="B24" s="15" t="s">
        <v>25</v>
      </c>
      <c r="C24" s="16">
        <f>SUM(C15:C23)</f>
        <v>0</v>
      </c>
      <c r="D24" s="16">
        <f>SUM(D15:D23)</f>
        <v>0</v>
      </c>
      <c r="E24" s="17">
        <f>IFERROR(G24/C24,0)</f>
        <v>0</v>
      </c>
      <c r="F24" s="17">
        <f>IFERROR(H24/D24,0)</f>
        <v>0</v>
      </c>
      <c r="G24" s="17">
        <f>SUM(G15:G23)</f>
        <v>0</v>
      </c>
      <c r="H24" s="17">
        <f>SUM(H15:H23)</f>
        <v>0</v>
      </c>
      <c r="I24" s="17">
        <f>SUM(I15:I23)</f>
        <v>0</v>
      </c>
      <c r="J24" s="17">
        <f>SUM(J15:J23)</f>
        <v>0</v>
      </c>
      <c r="K24" s="18">
        <f>IFERROR(I24/G24,0)</f>
        <v>0</v>
      </c>
      <c r="L24" s="18">
        <f>IFERROR(J24/H24,0)</f>
        <v>0</v>
      </c>
      <c r="M24" s="17">
        <f>SUM(M15:M23)</f>
        <v>0</v>
      </c>
      <c r="N24" s="17">
        <f>SUM(N15:N23)</f>
        <v>0</v>
      </c>
      <c r="O24" s="2"/>
      <c r="P24" s="2"/>
    </row>
    <row r="25" spans="1:16" x14ac:dyDescent="0.25">
      <c r="A25" s="2"/>
      <c r="B25" s="19" t="s">
        <v>26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0" t="s">
        <v>27</v>
      </c>
      <c r="C26" s="21">
        <v>1450</v>
      </c>
      <c r="D26" s="21">
        <v>1595</v>
      </c>
      <c r="E26" s="22">
        <v>92</v>
      </c>
      <c r="F26" s="22">
        <v>96</v>
      </c>
      <c r="G26" s="22">
        <f>C26*E26</f>
        <v>133400</v>
      </c>
      <c r="H26" s="22">
        <f>D26*F26</f>
        <v>153120</v>
      </c>
      <c r="I26" s="22">
        <f>G26*K26</f>
        <v>56028</v>
      </c>
      <c r="J26" s="22">
        <f>H26*L26</f>
        <v>61248</v>
      </c>
      <c r="K26" s="23">
        <v>0.42</v>
      </c>
      <c r="L26" s="23">
        <v>0.4</v>
      </c>
      <c r="M26" s="22">
        <f>G26-I26</f>
        <v>77372</v>
      </c>
      <c r="N26" s="22">
        <f>H26-J26</f>
        <v>91872</v>
      </c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4" t="s">
        <v>28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 t="s">
        <v>29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 t="s">
        <v>30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 t="s">
        <v>31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5" t="s">
        <v>32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 t="s">
        <v>33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 t="s">
        <v>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 t="s">
        <v>35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 t="s">
        <v>36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6" t="s">
        <v>37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</sheetData>
  <mergeCells count="7">
    <mergeCell ref="K13:L13"/>
    <mergeCell ref="M13:N13"/>
    <mergeCell ref="B13:B14"/>
    <mergeCell ref="C13:D13"/>
    <mergeCell ref="E13:F13"/>
    <mergeCell ref="G13:H13"/>
    <mergeCell ref="I13:J1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9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2" customWidth="1"/>
    <col min="3" max="3" width="46" customWidth="1"/>
    <col min="4" max="4" width="58" customWidth="1"/>
  </cols>
  <sheetData>
    <row r="1" spans="1:7" ht="18" x14ac:dyDescent="0.25">
      <c r="A1" s="2"/>
      <c r="B1" s="27" t="s">
        <v>38</v>
      </c>
      <c r="C1" s="2"/>
      <c r="D1" s="2"/>
      <c r="E1" s="2"/>
      <c r="F1" s="2"/>
      <c r="G1" s="2"/>
    </row>
    <row r="2" spans="1:7" x14ac:dyDescent="0.25">
      <c r="A2" s="2"/>
      <c r="B2" s="26" t="s">
        <v>39</v>
      </c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15" t="s">
        <v>40</v>
      </c>
      <c r="C4" s="15" t="s">
        <v>41</v>
      </c>
      <c r="D4" s="15" t="s">
        <v>42</v>
      </c>
      <c r="E4" s="2"/>
      <c r="F4" s="2"/>
      <c r="G4" s="2"/>
    </row>
    <row r="5" spans="1:7" ht="30" customHeight="1" x14ac:dyDescent="0.25">
      <c r="A5" s="2"/>
      <c r="B5" s="28" t="s">
        <v>11</v>
      </c>
      <c r="C5" s="29" t="s">
        <v>43</v>
      </c>
      <c r="D5" s="29" t="s">
        <v>44</v>
      </c>
      <c r="E5" s="2"/>
      <c r="F5" s="2"/>
      <c r="G5" s="2"/>
    </row>
    <row r="6" spans="1:7" ht="30" customHeight="1" x14ac:dyDescent="0.25">
      <c r="A6" s="2"/>
      <c r="B6" s="28" t="s">
        <v>12</v>
      </c>
      <c r="C6" s="29" t="s">
        <v>45</v>
      </c>
      <c r="D6" s="29" t="s">
        <v>46</v>
      </c>
      <c r="E6" s="2"/>
      <c r="F6" s="2"/>
      <c r="G6" s="2"/>
    </row>
    <row r="7" spans="1:7" ht="30" customHeight="1" x14ac:dyDescent="0.25">
      <c r="A7" s="2"/>
      <c r="B7" s="28" t="s">
        <v>6</v>
      </c>
      <c r="C7" s="29" t="s">
        <v>47</v>
      </c>
      <c r="D7" s="29" t="s">
        <v>48</v>
      </c>
      <c r="E7" s="2"/>
      <c r="F7" s="2"/>
      <c r="G7" s="2"/>
    </row>
    <row r="8" spans="1:7" ht="30" customHeight="1" x14ac:dyDescent="0.25">
      <c r="A8" s="2"/>
      <c r="B8" s="28" t="s">
        <v>13</v>
      </c>
      <c r="C8" s="29" t="s">
        <v>49</v>
      </c>
      <c r="D8" s="29" t="s">
        <v>50</v>
      </c>
      <c r="E8" s="2"/>
      <c r="F8" s="2"/>
      <c r="G8" s="2"/>
    </row>
    <row r="9" spans="1:7" ht="30" customHeight="1" x14ac:dyDescent="0.25">
      <c r="A9" s="2"/>
      <c r="B9" s="28" t="s">
        <v>14</v>
      </c>
      <c r="C9" s="29" t="s">
        <v>45</v>
      </c>
      <c r="D9" s="29" t="s">
        <v>51</v>
      </c>
      <c r="E9" s="2"/>
      <c r="F9" s="2"/>
      <c r="G9" s="2"/>
    </row>
    <row r="10" spans="1:7" ht="30" customHeight="1" x14ac:dyDescent="0.25">
      <c r="A10" s="2"/>
      <c r="B10" s="28" t="s">
        <v>15</v>
      </c>
      <c r="C10" s="29" t="s">
        <v>45</v>
      </c>
      <c r="D10" s="29" t="s">
        <v>52</v>
      </c>
      <c r="E10" s="2"/>
      <c r="F10" s="2"/>
      <c r="G10" s="2"/>
    </row>
    <row r="11" spans="1:7" ht="30" customHeight="1" x14ac:dyDescent="0.25">
      <c r="A11" s="2"/>
      <c r="B11" s="28" t="s">
        <v>53</v>
      </c>
      <c r="C11" s="29" t="s">
        <v>54</v>
      </c>
      <c r="D11" s="29" t="s">
        <v>55</v>
      </c>
      <c r="E11" s="2"/>
      <c r="F11" s="2"/>
      <c r="G11" s="2"/>
    </row>
    <row r="12" spans="1:7" ht="30" customHeight="1" x14ac:dyDescent="0.25">
      <c r="A12" s="2"/>
      <c r="B12" s="28" t="s">
        <v>56</v>
      </c>
      <c r="C12" s="29" t="s">
        <v>57</v>
      </c>
      <c r="D12" s="29" t="s">
        <v>58</v>
      </c>
      <c r="E12" s="2"/>
      <c r="F12" s="2"/>
      <c r="G12" s="2"/>
    </row>
    <row r="13" spans="1:7" ht="30" customHeight="1" x14ac:dyDescent="0.25">
      <c r="A13" s="2"/>
      <c r="B13" s="28" t="s">
        <v>59</v>
      </c>
      <c r="C13" s="29" t="s">
        <v>60</v>
      </c>
      <c r="D13" s="29" t="s">
        <v>61</v>
      </c>
      <c r="E13" s="2"/>
      <c r="F13" s="2"/>
      <c r="G13" s="2"/>
    </row>
    <row r="14" spans="1:7" ht="30" customHeight="1" x14ac:dyDescent="0.25">
      <c r="A14" s="2"/>
      <c r="B14" s="28" t="s">
        <v>62</v>
      </c>
      <c r="C14" s="29" t="s">
        <v>63</v>
      </c>
      <c r="D14" s="29" t="s">
        <v>64</v>
      </c>
      <c r="E14" s="2"/>
      <c r="F14" s="2"/>
      <c r="G14" s="2"/>
    </row>
    <row r="15" spans="1:7" ht="30" customHeight="1" x14ac:dyDescent="0.25">
      <c r="A15" s="2"/>
      <c r="B15" s="28" t="s">
        <v>65</v>
      </c>
      <c r="C15" s="29" t="s">
        <v>66</v>
      </c>
      <c r="D15" s="29" t="s">
        <v>67</v>
      </c>
      <c r="E15" s="2"/>
      <c r="F15" s="2"/>
      <c r="G15" s="2"/>
    </row>
    <row r="16" spans="1:7" ht="30" customHeight="1" x14ac:dyDescent="0.25">
      <c r="A16" s="2"/>
      <c r="B16" s="28" t="s">
        <v>68</v>
      </c>
      <c r="C16" s="29" t="s">
        <v>69</v>
      </c>
      <c r="D16" s="29" t="s">
        <v>70</v>
      </c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30" t="s">
        <v>71</v>
      </c>
      <c r="C18" s="2"/>
      <c r="D18" s="2"/>
      <c r="E18" s="2"/>
      <c r="F18" s="2"/>
      <c r="G18" s="2"/>
    </row>
    <row r="19" spans="1:7" x14ac:dyDescent="0.25">
      <c r="A19" s="2"/>
      <c r="B19" s="2" t="s">
        <v>72</v>
      </c>
      <c r="C19" s="2"/>
      <c r="D19" s="2"/>
      <c r="E19" s="2"/>
      <c r="F19" s="2"/>
      <c r="G19" s="2"/>
    </row>
    <row r="20" spans="1:7" x14ac:dyDescent="0.25">
      <c r="A20" s="2"/>
      <c r="B20" s="2" t="s">
        <v>73</v>
      </c>
      <c r="C20" s="2"/>
      <c r="D20" s="2"/>
      <c r="E20" s="2"/>
      <c r="F20" s="2"/>
      <c r="G20" s="2"/>
    </row>
    <row r="21" spans="1:7" x14ac:dyDescent="0.25">
      <c r="A21" s="2"/>
      <c r="B21" s="2" t="s">
        <v>74</v>
      </c>
      <c r="C21" s="2"/>
      <c r="D21" s="2"/>
      <c r="E21" s="2"/>
      <c r="F21" s="2"/>
      <c r="G21" s="2"/>
    </row>
    <row r="22" spans="1:7" x14ac:dyDescent="0.25">
      <c r="A22" s="2"/>
      <c r="B22" s="2" t="s">
        <v>75</v>
      </c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31" t="s">
        <v>76</v>
      </c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Performance</vt:lpstr>
      <vt:lpstr>Notes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 ordinary</cp:lastModifiedBy>
  <cp:revision>0</cp:revision>
  <dcterms:created xsi:type="dcterms:W3CDTF">2026-07-28T13:18:26Z</dcterms:created>
  <dcterms:modified xsi:type="dcterms:W3CDTF">2026-07-28T13:22:02Z</dcterms:modified>
  <dc:language>en-US</dc:language>
</cp:coreProperties>
</file>