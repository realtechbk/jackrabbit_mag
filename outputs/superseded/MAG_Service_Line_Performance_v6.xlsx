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c5f25a57fcf03a4/Desktop/working/RealTech/Clients/Maine Academy of Gymnastic/Output/"/>
    </mc:Choice>
  </mc:AlternateContent>
  <xr:revisionPtr revIDLastSave="2" documentId="11_3A58B76E0678D091D4687C02457FCC6EBE09F15B" xr6:coauthVersionLast="47" xr6:coauthVersionMax="47" xr10:uidLastSave="{738F45EA-20B4-4F54-8010-99172DBDEFE3}"/>
  <bookViews>
    <workbookView xWindow="-25185" yWindow="3105" windowWidth="16410" windowHeight="11295" tabRatio="500" xr2:uid="{00000000-000D-0000-FFFF-FFFF00000000}"/>
  </bookViews>
  <sheets>
    <sheet name="Service Performance" sheetId="1" r:id="rId1"/>
    <sheet name="Service Definition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28" i="1" l="1"/>
  <c r="Q28" i="1" s="1"/>
  <c r="M28" i="1"/>
  <c r="D11" i="1" s="1"/>
  <c r="L28" i="1"/>
  <c r="O28" i="1" s="1"/>
  <c r="K28" i="1"/>
  <c r="K33" i="1" s="1"/>
  <c r="J28" i="1"/>
  <c r="J32" i="1" s="1"/>
  <c r="I28" i="1"/>
  <c r="I32" i="1" s="1"/>
  <c r="E28" i="1"/>
  <c r="E33" i="1" s="1"/>
  <c r="D28" i="1"/>
  <c r="D33" i="1" s="1"/>
  <c r="C28" i="1"/>
  <c r="C7" i="1" s="1"/>
  <c r="T27" i="1"/>
  <c r="N27" i="1"/>
  <c r="M27" i="1"/>
  <c r="S27" i="1" s="1"/>
  <c r="L27" i="1"/>
  <c r="R27" i="1" s="1"/>
  <c r="H27" i="1"/>
  <c r="G27" i="1"/>
  <c r="F27" i="1"/>
  <c r="S26" i="1"/>
  <c r="N26" i="1"/>
  <c r="T26" i="1" s="1"/>
  <c r="M26" i="1"/>
  <c r="L26" i="1"/>
  <c r="R26" i="1" s="1"/>
  <c r="H26" i="1"/>
  <c r="G26" i="1"/>
  <c r="F26" i="1"/>
  <c r="N25" i="1"/>
  <c r="T25" i="1" s="1"/>
  <c r="M25" i="1"/>
  <c r="S25" i="1" s="1"/>
  <c r="L25" i="1"/>
  <c r="R25" i="1" s="1"/>
  <c r="H25" i="1"/>
  <c r="G25" i="1"/>
  <c r="F25" i="1"/>
  <c r="N24" i="1"/>
  <c r="T24" i="1" s="1"/>
  <c r="M24" i="1"/>
  <c r="S24" i="1" s="1"/>
  <c r="L24" i="1"/>
  <c r="R24" i="1" s="1"/>
  <c r="H24" i="1"/>
  <c r="G24" i="1"/>
  <c r="F24" i="1"/>
  <c r="N23" i="1"/>
  <c r="T23" i="1" s="1"/>
  <c r="M23" i="1"/>
  <c r="S23" i="1" s="1"/>
  <c r="L23" i="1"/>
  <c r="R23" i="1" s="1"/>
  <c r="H23" i="1"/>
  <c r="G23" i="1"/>
  <c r="F23" i="1"/>
  <c r="S22" i="1"/>
  <c r="R22" i="1"/>
  <c r="N22" i="1"/>
  <c r="T22" i="1" s="1"/>
  <c r="M22" i="1"/>
  <c r="L22" i="1"/>
  <c r="H22" i="1"/>
  <c r="G22" i="1"/>
  <c r="F22" i="1"/>
  <c r="N21" i="1"/>
  <c r="T21" i="1" s="1"/>
  <c r="M21" i="1"/>
  <c r="S21" i="1" s="1"/>
  <c r="L21" i="1"/>
  <c r="R21" i="1" s="1"/>
  <c r="H21" i="1"/>
  <c r="G21" i="1"/>
  <c r="F21" i="1"/>
  <c r="T20" i="1"/>
  <c r="S20" i="1"/>
  <c r="N20" i="1"/>
  <c r="M20" i="1"/>
  <c r="L20" i="1"/>
  <c r="R20" i="1" s="1"/>
  <c r="H20" i="1"/>
  <c r="G20" i="1"/>
  <c r="F20" i="1"/>
  <c r="N19" i="1"/>
  <c r="T19" i="1" s="1"/>
  <c r="M19" i="1"/>
  <c r="S19" i="1" s="1"/>
  <c r="L19" i="1"/>
  <c r="R19" i="1" s="1"/>
  <c r="H19" i="1"/>
  <c r="G19" i="1"/>
  <c r="F19" i="1"/>
  <c r="N18" i="1"/>
  <c r="T18" i="1" s="1"/>
  <c r="M18" i="1"/>
  <c r="S18" i="1" s="1"/>
  <c r="L18" i="1"/>
  <c r="R18" i="1" s="1"/>
  <c r="H18" i="1"/>
  <c r="G18" i="1"/>
  <c r="F18" i="1"/>
  <c r="N17" i="1"/>
  <c r="T17" i="1" s="1"/>
  <c r="M17" i="1"/>
  <c r="S17" i="1" s="1"/>
  <c r="L17" i="1"/>
  <c r="R17" i="1" s="1"/>
  <c r="H17" i="1"/>
  <c r="G17" i="1"/>
  <c r="F17" i="1"/>
  <c r="N16" i="1"/>
  <c r="T16" i="1" s="1"/>
  <c r="M16" i="1"/>
  <c r="S16" i="1" s="1"/>
  <c r="L16" i="1"/>
  <c r="R16" i="1" s="1"/>
  <c r="H16" i="1"/>
  <c r="G16" i="1"/>
  <c r="F16" i="1"/>
  <c r="R28" i="1" l="1"/>
  <c r="S28" i="1"/>
  <c r="T28" i="1"/>
  <c r="C9" i="1"/>
  <c r="D9" i="1"/>
  <c r="E9" i="1"/>
  <c r="C11" i="1"/>
  <c r="D7" i="1"/>
  <c r="P28" i="1"/>
  <c r="F28" i="1"/>
  <c r="E7" i="1"/>
  <c r="G28" i="1"/>
  <c r="C8" i="1"/>
  <c r="H28" i="1"/>
  <c r="D8" i="1"/>
  <c r="E8" i="1"/>
  <c r="J33" i="1"/>
  <c r="E11" i="1"/>
  <c r="K32" i="1"/>
  <c r="E12" i="1" l="1"/>
  <c r="E13" i="1"/>
  <c r="D12" i="1"/>
  <c r="D13" i="1"/>
  <c r="C12" i="1"/>
  <c r="C13" i="1"/>
</calcChain>
</file>

<file path=xl/sharedStrings.xml><?xml version="1.0" encoding="utf-8"?>
<sst xmlns="http://schemas.openxmlformats.org/spreadsheetml/2006/main" count="128" uniqueCount="96">
  <si>
    <t>Maine Academy of Gymnastics</t>
  </si>
  <si>
    <t>Service Line Performance — 2023 / 2024 / 2025</t>
  </si>
  <si>
    <t>BASIS: Jackrabbit Class/Event Revenue Summary. Revenue and enrolments come from the SAME report, so revenue per enrolment is internally consistent.</t>
  </si>
  <si>
    <t>All three years populated from the 2023, 2024 and 2025 exports. Each reconciles to its report total with zero variance. Only Cost of Sales % remains to be entered.</t>
  </si>
  <si>
    <t>2023</t>
  </si>
  <si>
    <t>2024</t>
  </si>
  <si>
    <t>2025</t>
  </si>
  <si>
    <t>Enrolments / Bookings</t>
  </si>
  <si>
    <t>Revenue per Enrolment</t>
  </si>
  <si>
    <t>Total Revenue</t>
  </si>
  <si>
    <t>Cost of Sales (as a % of Revenue)</t>
  </si>
  <si>
    <t>Gross Profit</t>
  </si>
  <si>
    <t>Gross Profit (as a % of Revenue)</t>
  </si>
  <si>
    <t>Product/Service</t>
  </si>
  <si>
    <t># Enrolments / Bookings</t>
  </si>
  <si>
    <t>Total Cost of Sales</t>
  </si>
  <si>
    <t>Cost of Sales %</t>
  </si>
  <si>
    <t>Total Gross Profit</t>
  </si>
  <si>
    <t>Recreational -- Preschool (The Jungle)</t>
  </si>
  <si>
    <t>Recreational -- Girls Wings</t>
  </si>
  <si>
    <t>Recreational -- Boys Wings</t>
  </si>
  <si>
    <t>Recreational -- Tumbling</t>
  </si>
  <si>
    <t>Recreational -- Workshops &amp; Class Series</t>
  </si>
  <si>
    <t>Recreational -- Unlinked Tuition</t>
  </si>
  <si>
    <t>Competitive -- Pre-Team</t>
  </si>
  <si>
    <t>Competitive -- American Flyers Teams</t>
  </si>
  <si>
    <t>Ancillary -- Open Gym</t>
  </si>
  <si>
    <t>Ancillary -- Birthday Parties</t>
  </si>
  <si>
    <t>Ancillary -- Private Lessons</t>
  </si>
  <si>
    <t>Review -- Unlinked (no class/event)</t>
  </si>
  <si>
    <t>TOTAL — All Services</t>
  </si>
  <si>
    <t>RECONCILIATION</t>
  </si>
  <si>
    <t>Report stated total</t>
  </si>
  <si>
    <t>Variance (must be zero)</t>
  </si>
  <si>
    <t>Enrolment change vs prior year</t>
  </si>
  <si>
    <t>HOW TO USE THIS SHEET</t>
  </si>
  <si>
    <t>Fill the BLUE cells: # Enrolments / Bookings, Total Revenue, and Cost of Sales %. Both enrolments and revenue come</t>
  </si>
  <si>
    <t>from the same Class/Event Revenue Summary export, so they stay on one basis.</t>
  </si>
  <si>
    <t>Revenue per Enrolment, Total Cost of Sales and Total Gross Profit all calculate.</t>
  </si>
  <si>
    <t>WHEN EXPORTING THE 2024 AND 2025 REPORTS — de-duplicate before summing enrolments.</t>
  </si>
  <si>
    <t>The report splits some classes across multiple revenue rows and REPEATS the enrolment figure on each. In 2023 a naive</t>
  </si>
  <si>
    <t>sum gave 10,691 against a true 8,160. De-duplicate on Class + Session + Cat3, then sum. Revenue sums across all rows.</t>
  </si>
  <si>
    <t>Cost of Sales is not in Jackrabbit. It is coach labour: hourly rate x class hours, built from payroll.</t>
  </si>
  <si>
    <t>Rows without a unit count: Private Lessons is not enrolment-tracked, Unlinked Tuition has no class, and Review has no unit.</t>
  </si>
  <si>
    <t>Leave those enrolment cells blank rather than entering zero — Revenue per Enrolment then shows as a dash.</t>
  </si>
  <si>
    <t>Workshops &amp; Class Series shows about $24 per enrolment against $250-400 for the other rec rows. That is expected —</t>
  </si>
  <si>
    <t>these are short-format workshops and summer series priced per session, not monthly tuition.</t>
  </si>
  <si>
    <t>See the 'Service Definitions' tab for what each row contains and how enrolment is counted for it.</t>
  </si>
  <si>
    <t>Service Definitions</t>
  </si>
  <si>
    <t>Rows are built from Category 1 / Category 2 in the Class/Event Revenue Summary. What 'enrolment' counts differs by service — read the third column.</t>
  </si>
  <si>
    <t>Service Row</t>
  </si>
  <si>
    <t>Jackrabbit source</t>
  </si>
  <si>
    <t>What one 'enrolment' is</t>
  </si>
  <si>
    <t>2023 actuals &amp; notes</t>
  </si>
  <si>
    <t>Cat1 Recreational + Cat2 Pre-School or Parent-Child</t>
  </si>
  <si>
    <t>One child in one preschool class for one session.</t>
  </si>
  <si>
    <t>1,151 / 1,119 / 1,071 enrolments. Down 7% over two years. Rev per enrolment $307 -&gt; $352. The funnel feeder for every other line, so the decline matters more than its size.</t>
  </si>
  <si>
    <t>Cat1 Recreational + Cat2 Rec Girls</t>
  </si>
  <si>
    <t>One girl in one class for one session. A student in two classes counts twice.</t>
  </si>
  <si>
    <t>2,090 / 2,517 / 2,440 enrolments. 44% of 2025 revenue and the largest line by far. Rev per enrolment $366 -&gt; $408. Absorbs pre-team girls from 2024.</t>
  </si>
  <si>
    <t>Cat1 Recreational + Cat2 Rec Boys</t>
  </si>
  <si>
    <t>One boy in one class for one session.</t>
  </si>
  <si>
    <t>277 / 247 / 239 enrolments — three consecutive declines. Rev per enrolment rose to $366, so they are charging more to fewer students. Only 21 class records vs 163 for girls, at 51.6% fill.</t>
  </si>
  <si>
    <t>Cat1 Recreational + Cat2 Tumble (Combined)</t>
  </si>
  <si>
    <t>One student in one tumbling class for one session.</t>
  </si>
  <si>
    <t>332 / 433 / 334 enrolments — spiked then fell back. Cheapest rec line per enrolment. Best fill rate in the current class list at 81.6%.</t>
  </si>
  <si>
    <t>Cat1 Recreational, Cat2 BLANK (8 class records)</t>
  </si>
  <si>
    <t>One student in one workshop or summer series.</t>
  </si>
  <si>
    <t>128 enrolments / $3,134, 2025 only — a new short-format offering. Three Summer Tumble Class Series, three Summer Wings Class Series, two Bar Workshops. Rev per enrolment is ~$24 because these are priced per session, not monthly. TAGGING NOTE: these 8 classes have no Category 2 set. If MAG sets it, the revenue folds into Tumbling (~$1,364) and Girls Wings (~$1,770) and this row disappears from history.</t>
  </si>
  <si>
    <t>Cat1 Recreational, activity 'No Activity Name'</t>
  </si>
  <si>
    <t>No unit — no class record exists to enrol against.</t>
  </si>
  <si>
    <t>$21,708 / $27,214 / $16,503 — DOWN 54% from the 2024 peak, so hygiene is improving. Tuition posted at family level rather than through the class-linked routine, plus orphans where a class was deleted after fees posted. Preventable going forward; not economically recoverable retroactively (~100 transactions a year at 0.7% of revenue). Fix the posting habit, do not chase the history.</t>
  </si>
  <si>
    <t>Cat1 Recreational + Cat2 Pre-Team (Invite Only)</t>
  </si>
  <si>
    <t>One athlete in one pre-team class.</t>
  </si>
  <si>
    <t>41 enrolments at $647 each — the HIGHEST unit value in the business, roughly double the rec average. The Cat2 exists in 2023 only; from 2024 these athletes sit inside the Wings rows.</t>
  </si>
  <si>
    <t>Cat1 Team</t>
  </si>
  <si>
    <t>One athlete in one team activity. Counts billing groups AND meet entries, so it double-counts athletes.</t>
  </si>
  <si>
    <t>1,792 / 1,878 / 2,129 enrolments, up 13.4% in 2025, while rev per enrolment FELL from $291 to $262. Reads as more meet participation, which is pass-through revenue at near-zero margin.</t>
  </si>
  <si>
    <t>Cat1 Open Gym</t>
  </si>
  <si>
    <t>One session booking — genuinely transaction-like, unlike the class rows.</t>
  </si>
  <si>
    <t>2,364 / 1,849 / 2,114 bookings at a flat $13. Highest unit count, lowest unit value. Marginal coach cost is supervision only, so margin should be well above the tuition lines.</t>
  </si>
  <si>
    <t>Cat1 Birthday Parties</t>
  </si>
  <si>
    <t>One party booked.</t>
  </si>
  <si>
    <t>112 / 59 / 0. Wound down to nothing by 2025 and the category disappears. Was $29,237 in 2023 with almost no coach cost. Ask the client whether this was a deliberate exit.</t>
  </si>
  <si>
    <t>Cat1 Private Lessons</t>
  </si>
  <si>
    <t>NOT TRACKED. The report returns zero enrolment against real revenue.</t>
  </si>
  <si>
    <t>$3,091 / $4,505 / $6,103 — up 97% in two years. Leave the unit cell blank rather than entering zero. Premium one-to-one delivery; constrained by coach time, not floor space.</t>
  </si>
  <si>
    <t>Blank Cat1, activity 'No Class/Event Name'</t>
  </si>
  <si>
    <t>No unit — not attributable to any class.</t>
  </si>
  <si>
    <t>$108,455 / $80,461 / $78,419 after the Recreational portion was pulled into its own row above. MOSTLY LEGITIMATE REVENUE, not a defect: in 2025 it is Pro Shop $34,752, annual membership fees $17,743, unapplied payments $11,921, Team unlinked $7,617, staff $3,825 and private lessons $1,980. Pro Shop and membership fees deserve their own service rows — that split would take this row down to roughly $26,000 of genuinely unresolved money. It needs the Revenue Summary basis to do cleanly.</t>
  </si>
  <si>
    <t>Why enrolments rather than transactions</t>
  </si>
  <si>
    <t>A transaction count would mostly measure billing cadence. A student enrolled for ten months generates ten monthly</t>
  </si>
  <si>
    <t>charges but one enrolment, and the ten says nothing about demand or retention. Enrolments answer 'how many did we</t>
  </si>
  <si>
    <t>sell', which is what the sheet is for. The Jackrabbit Revenue Summary reports leave the Enrollment column at zero,</t>
  </si>
  <si>
    <t>so this Class/Event report is the only place the counts exist.</t>
  </si>
  <si>
    <t>Source: Jackrabbit Class/Event Revenue Summary, 1/1/2023 - 12/31/2023. Reconciles to $1,996,290.52 with zero variance.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</si>
</sst>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;\-"/>
    <numFmt numFmtId="165" formatCode="\$#,##0;&quot;($&quot;#,##0\);\-"/>
    <numFmt numFmtId="166" formatCode="\$#,##0.00;&quot;($&quot;#,##0.00\);\-"/>
    <numFmt numFmtId="167" formatCode="0.0%;\(0.0%\);\-"/>
    <numFmt numFmtId="168" formatCode="\+0.0%;\-0.0%;0.0%"/>
  </numFmts>
  <fonts count="17" x14ac:knownFonts="1">
    <font>
      <sz val="11"/>
      <color theme="1"/>
      <name val="Calibri"/>
      <family val="2"/>
      <charset val="1"/>
    </font>
    <font>
      <sz val="10"/>
      <color rgb="FFFFFFFF"/>
      <name val="Arial"/>
      <charset val="1"/>
    </font>
    <font>
      <b/>
      <sz val="16"/>
      <color rgb="FFFFFFFF"/>
      <name val="Arial"/>
      <charset val="1"/>
    </font>
    <font>
      <sz val="11"/>
      <color rgb="FFC9D1E0"/>
      <name val="Arial"/>
      <charset val="1"/>
    </font>
    <font>
      <i/>
      <sz val="9"/>
      <color rgb="FFC9D1E0"/>
      <name val="Arial"/>
      <charset val="1"/>
    </font>
    <font>
      <b/>
      <sz val="9"/>
      <color rgb="FFFFD479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1F2937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b/>
      <sz val="10"/>
      <color rgb="FFFFD479"/>
      <name val="Arial"/>
      <charset val="1"/>
    </font>
    <font>
      <i/>
      <sz val="10"/>
      <color rgb="FFC9D1E0"/>
      <name val="Arial"/>
      <charset val="1"/>
    </font>
    <font>
      <b/>
      <sz val="15"/>
      <color rgb="FFFFFFFF"/>
      <name val="Arial"/>
      <charset val="1"/>
    </font>
    <font>
      <sz val="9"/>
      <color rgb="FF1F2937"/>
      <name val="Arial"/>
      <charset val="1"/>
    </font>
    <font>
      <b/>
      <sz val="11"/>
      <color rgb="FFFFD479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2F3641"/>
        <bgColor rgb="FF1F2937"/>
      </patternFill>
    </fill>
    <fill>
      <patternFill patternType="solid">
        <fgColor rgb="FF8B3DD7"/>
        <bgColor rgb="FF993366"/>
      </patternFill>
    </fill>
    <fill>
      <patternFill patternType="solid">
        <fgColor rgb="FFFFFFFF"/>
        <bgColor rgb="FFDCE3F2"/>
      </patternFill>
    </fill>
    <fill>
      <patternFill patternType="solid">
        <fgColor rgb="FFD6DEF5"/>
        <bgColor rgb="FFDCE3F2"/>
      </patternFill>
    </fill>
    <fill>
      <patternFill patternType="solid">
        <fgColor rgb="FFDCE3F2"/>
        <bgColor rgb="FFD6DEF5"/>
      </patternFill>
    </fill>
    <fill>
      <patternFill patternType="solid">
        <fgColor rgb="FFE8D9F5"/>
        <bgColor rgb="FFDCE3F2"/>
      </patternFill>
    </fill>
    <fill>
      <patternFill patternType="solid">
        <fgColor rgb="FFB9C4DC"/>
        <bgColor rgb="FFC9D1E0"/>
      </patternFill>
    </fill>
  </fills>
  <borders count="2">
    <border>
      <left/>
      <right/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6" fillId="3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3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right" vertical="center"/>
    </xf>
    <xf numFmtId="164" fontId="7" fillId="4" borderId="1" xfId="0" applyNumberFormat="1" applyFont="1" applyFill="1" applyBorder="1" applyAlignment="1">
      <alignment horizontal="center"/>
    </xf>
    <xf numFmtId="165" fontId="7" fillId="4" borderId="1" xfId="0" applyNumberFormat="1" applyFont="1" applyFill="1" applyBorder="1" applyAlignment="1">
      <alignment horizontal="center"/>
    </xf>
    <xf numFmtId="166" fontId="7" fillId="4" borderId="1" xfId="0" applyNumberFormat="1" applyFont="1" applyFill="1" applyBorder="1" applyAlignment="1">
      <alignment horizontal="center"/>
    </xf>
    <xf numFmtId="167" fontId="7" fillId="4" borderId="1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left" vertical="center" indent="1"/>
    </xf>
    <xf numFmtId="164" fontId="9" fillId="4" borderId="1" xfId="0" applyNumberFormat="1" applyFont="1" applyFill="1" applyBorder="1" applyAlignment="1">
      <alignment horizontal="center"/>
    </xf>
    <xf numFmtId="165" fontId="10" fillId="6" borderId="1" xfId="0" applyNumberFormat="1" applyFont="1" applyFill="1" applyBorder="1" applyAlignment="1">
      <alignment horizontal="center"/>
    </xf>
    <xf numFmtId="166" fontId="9" fillId="4" borderId="1" xfId="0" applyNumberFormat="1" applyFont="1" applyFill="1" applyBorder="1" applyAlignment="1">
      <alignment horizontal="center"/>
    </xf>
    <xf numFmtId="166" fontId="10" fillId="6" borderId="1" xfId="0" applyNumberFormat="1" applyFont="1" applyFill="1" applyBorder="1" applyAlignment="1">
      <alignment horizontal="center"/>
    </xf>
    <xf numFmtId="167" fontId="9" fillId="4" borderId="1" xfId="0" applyNumberFormat="1" applyFont="1" applyFill="1" applyBorder="1" applyAlignment="1">
      <alignment horizontal="center"/>
    </xf>
    <xf numFmtId="0" fontId="8" fillId="7" borderId="1" xfId="0" applyFont="1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left" vertical="center" indent="1"/>
    </xf>
    <xf numFmtId="164" fontId="7" fillId="8" borderId="1" xfId="0" applyNumberFormat="1" applyFont="1" applyFill="1" applyBorder="1" applyAlignment="1">
      <alignment horizontal="center"/>
    </xf>
    <xf numFmtId="165" fontId="7" fillId="8" borderId="1" xfId="0" applyNumberFormat="1" applyFont="1" applyFill="1" applyBorder="1" applyAlignment="1">
      <alignment horizontal="center"/>
    </xf>
    <xf numFmtId="166" fontId="7" fillId="8" borderId="1" xfId="0" applyNumberFormat="1" applyFont="1" applyFill="1" applyBorder="1" applyAlignment="1">
      <alignment horizontal="center"/>
    </xf>
    <xf numFmtId="167" fontId="7" fillId="8" borderId="1" xfId="0" applyNumberFormat="1" applyFont="1" applyFill="1" applyBorder="1" applyAlignment="1">
      <alignment horizontal="center"/>
    </xf>
    <xf numFmtId="0" fontId="11" fillId="2" borderId="0" xfId="0" applyFont="1" applyFill="1"/>
    <xf numFmtId="0" fontId="6" fillId="2" borderId="0" xfId="0" applyFont="1" applyFill="1" applyAlignment="1">
      <alignment horizontal="right"/>
    </xf>
    <xf numFmtId="168" fontId="7" fillId="4" borderId="1" xfId="0" applyNumberFormat="1" applyFont="1" applyFill="1" applyBorder="1" applyAlignment="1">
      <alignment horizontal="center"/>
    </xf>
    <xf numFmtId="0" fontId="12" fillId="2" borderId="0" xfId="0" applyFont="1" applyFill="1"/>
    <xf numFmtId="0" fontId="1" fillId="0" borderId="0" xfId="0" applyFont="1"/>
    <xf numFmtId="0" fontId="13" fillId="0" borderId="0" xfId="0" applyFont="1"/>
    <xf numFmtId="0" fontId="14" fillId="2" borderId="0" xfId="0" applyFont="1" applyFill="1"/>
    <xf numFmtId="0" fontId="13" fillId="2" borderId="0" xfId="0" applyFont="1" applyFill="1"/>
    <xf numFmtId="0" fontId="6" fillId="3" borderId="1" xfId="0" applyFont="1" applyFill="1" applyBorder="1" applyAlignment="1">
      <alignment horizontal="left" vertical="center" wrapText="1" indent="1"/>
    </xf>
    <xf numFmtId="0" fontId="8" fillId="5" borderId="1" xfId="0" applyFont="1" applyFill="1" applyBorder="1" applyAlignment="1">
      <alignment horizontal="left" vertical="top" wrapText="1" indent="1"/>
    </xf>
    <xf numFmtId="0" fontId="15" fillId="6" borderId="1" xfId="0" applyFont="1" applyFill="1" applyBorder="1" applyAlignment="1">
      <alignment horizontal="left" vertical="top" wrapText="1" indent="1"/>
    </xf>
    <xf numFmtId="0" fontId="1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4DC"/>
      <rgbColor rgb="FF808080"/>
      <rgbColor rgb="FF9999FF"/>
      <rgbColor rgb="FF8B3DD7"/>
      <rgbColor rgb="FFE8D9F5"/>
      <rgbColor rgb="FFDCE3F2"/>
      <rgbColor rgb="FF660066"/>
      <rgbColor rgb="FFFF8080"/>
      <rgbColor rgb="FF0066CC"/>
      <rgbColor rgb="FFC9D1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DEF5"/>
      <rgbColor rgb="FFCCFFCC"/>
      <rgbColor rgb="FFFFFF99"/>
      <rgbColor rgb="FF99CCFF"/>
      <rgbColor rgb="FFFF99CC"/>
      <rgbColor rgb="FFCC99FF"/>
      <rgbColor rgb="FFFFD479"/>
      <rgbColor rgb="FF3366FF"/>
      <rgbColor rgb="FF33CCCC"/>
      <rgbColor rgb="FF99CC00"/>
      <rgbColor rgb="FFFFCC00"/>
      <rgbColor rgb="FFFF9900"/>
      <rgbColor rgb="FFFF6600"/>
      <rgbColor rgb="FF666699"/>
      <rgbColor rgb="FF9AA3B2"/>
      <rgbColor rgb="FF003366"/>
      <rgbColor rgb="FF339966"/>
      <rgbColor rgb="FF003300"/>
      <rgbColor rgb="FF1F2937"/>
      <rgbColor rgb="FF993300"/>
      <rgbColor rgb="FF993366"/>
      <rgbColor rgb="FF333399"/>
      <rgbColor rgb="FF2F36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2"/>
  <sheetViews>
    <sheetView showGridLines="0" tabSelected="1" zoomScaleNormal="100" workbookViewId="0">
      <pane xSplit="2" ySplit="15" topLeftCell="C16" activePane="bottomRight" state="frozen"/>
      <selection pane="topRight" activeCell="C1" sqref="C1"/>
      <selection pane="bottomLeft" activeCell="A16" sqref="A16"/>
      <selection pane="bottomRight" activeCell="B27" sqref="B27"/>
    </sheetView>
  </sheetViews>
  <sheetFormatPr defaultColWidth="8.7109375" defaultRowHeight="15" x14ac:dyDescent="0.25"/>
  <cols>
    <col min="1" max="1" width="2" customWidth="1"/>
    <col min="2" max="2" width="40" customWidth="1"/>
    <col min="3" max="20" width="13" customWidth="1"/>
  </cols>
  <sheetData>
    <row r="1" spans="1:22" ht="20.25" x14ac:dyDescent="0.3">
      <c r="A1" s="2"/>
      <c r="B1" s="3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25">
      <c r="A2" s="2"/>
      <c r="B2" s="4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x14ac:dyDescent="0.25">
      <c r="A3" s="2"/>
      <c r="B3" s="5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25">
      <c r="A4" s="2"/>
      <c r="B4" s="6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x14ac:dyDescent="0.25">
      <c r="A6" s="2"/>
      <c r="B6" s="2"/>
      <c r="C6" s="7" t="s">
        <v>4</v>
      </c>
      <c r="D6" s="7" t="s">
        <v>5</v>
      </c>
      <c r="E6" s="7" t="s">
        <v>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x14ac:dyDescent="0.25">
      <c r="A7" s="2"/>
      <c r="B7" s="8" t="s">
        <v>7</v>
      </c>
      <c r="C7" s="9">
        <f>C28</f>
        <v>8159</v>
      </c>
      <c r="D7" s="9">
        <f>D28</f>
        <v>8102</v>
      </c>
      <c r="E7" s="9">
        <f>E28</f>
        <v>8455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x14ac:dyDescent="0.25">
      <c r="A8" s="2"/>
      <c r="B8" s="8" t="s">
        <v>8</v>
      </c>
      <c r="C8" s="10">
        <f>IFERROR(I28/C28,0)</f>
        <v>244.67343056747148</v>
      </c>
      <c r="D8" s="10">
        <f>IFERROR(J28/D28,0)</f>
        <v>283.5539138484325</v>
      </c>
      <c r="E8" s="10">
        <f>IFERROR(K28/E28,0)</f>
        <v>265.05433116499114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25">
      <c r="A9" s="2"/>
      <c r="B9" s="8" t="s">
        <v>9</v>
      </c>
      <c r="C9" s="11">
        <f>I28</f>
        <v>1996290.5199999998</v>
      </c>
      <c r="D9" s="11">
        <f>J28</f>
        <v>2297353.81</v>
      </c>
      <c r="E9" s="11">
        <f>K28</f>
        <v>2241034.37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x14ac:dyDescent="0.25">
      <c r="A11" s="2"/>
      <c r="B11" s="8" t="s">
        <v>10</v>
      </c>
      <c r="C11" s="12">
        <f>IFERROR(L28/I28,0)</f>
        <v>0</v>
      </c>
      <c r="D11" s="12">
        <f>IFERROR(M28/J28,0)</f>
        <v>0</v>
      </c>
      <c r="E11" s="12">
        <f>IFERROR(N28/K28,0)</f>
        <v>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x14ac:dyDescent="0.25">
      <c r="A12" s="2"/>
      <c r="B12" s="8" t="s">
        <v>11</v>
      </c>
      <c r="C12" s="11">
        <f>R28</f>
        <v>1996290.5199999998</v>
      </c>
      <c r="D12" s="11">
        <f>S28</f>
        <v>2297353.81</v>
      </c>
      <c r="E12" s="11">
        <f>T28</f>
        <v>2241034.37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x14ac:dyDescent="0.25">
      <c r="A13" s="2"/>
      <c r="B13" s="8" t="s">
        <v>12</v>
      </c>
      <c r="C13" s="12">
        <f>IFERROR(R28/I28,0)</f>
        <v>1</v>
      </c>
      <c r="D13" s="12">
        <f>IFERROR(S28/J28,0)</f>
        <v>1</v>
      </c>
      <c r="E13" s="12">
        <f>IFERROR(T28/K28,0)</f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15" customHeight="1" x14ac:dyDescent="0.25">
      <c r="A14" s="2"/>
      <c r="B14" s="1" t="s">
        <v>13</v>
      </c>
      <c r="C14" s="1" t="s">
        <v>14</v>
      </c>
      <c r="D14" s="1"/>
      <c r="E14" s="1"/>
      <c r="F14" s="1" t="s">
        <v>8</v>
      </c>
      <c r="G14" s="1"/>
      <c r="H14" s="1"/>
      <c r="I14" s="1" t="s">
        <v>9</v>
      </c>
      <c r="J14" s="1"/>
      <c r="K14" s="1"/>
      <c r="L14" s="1" t="s">
        <v>15</v>
      </c>
      <c r="M14" s="1"/>
      <c r="N14" s="1"/>
      <c r="O14" s="1" t="s">
        <v>16</v>
      </c>
      <c r="P14" s="1"/>
      <c r="Q14" s="1"/>
      <c r="R14" s="1" t="s">
        <v>17</v>
      </c>
      <c r="S14" s="1"/>
      <c r="T14" s="1"/>
      <c r="U14" s="2"/>
      <c r="V14" s="2"/>
    </row>
    <row r="15" spans="1:22" x14ac:dyDescent="0.25">
      <c r="A15" s="2"/>
      <c r="B15" s="1"/>
      <c r="C15" s="7" t="s">
        <v>4</v>
      </c>
      <c r="D15" s="7" t="s">
        <v>5</v>
      </c>
      <c r="E15" s="7" t="s">
        <v>6</v>
      </c>
      <c r="F15" s="7" t="s">
        <v>4</v>
      </c>
      <c r="G15" s="7" t="s">
        <v>5</v>
      </c>
      <c r="H15" s="7" t="s">
        <v>6</v>
      </c>
      <c r="I15" s="7" t="s">
        <v>4</v>
      </c>
      <c r="J15" s="7" t="s">
        <v>5</v>
      </c>
      <c r="K15" s="7" t="s">
        <v>6</v>
      </c>
      <c r="L15" s="7" t="s">
        <v>4</v>
      </c>
      <c r="M15" s="7" t="s">
        <v>5</v>
      </c>
      <c r="N15" s="7" t="s">
        <v>6</v>
      </c>
      <c r="O15" s="7" t="s">
        <v>4</v>
      </c>
      <c r="P15" s="7" t="s">
        <v>5</v>
      </c>
      <c r="Q15" s="7" t="s">
        <v>6</v>
      </c>
      <c r="R15" s="7" t="s">
        <v>4</v>
      </c>
      <c r="S15" s="7" t="s">
        <v>5</v>
      </c>
      <c r="T15" s="7" t="s">
        <v>6</v>
      </c>
      <c r="U15" s="2"/>
      <c r="V15" s="2"/>
    </row>
    <row r="16" spans="1:22" x14ac:dyDescent="0.25">
      <c r="A16" s="2"/>
      <c r="B16" s="13" t="s">
        <v>18</v>
      </c>
      <c r="C16" s="14">
        <v>1151</v>
      </c>
      <c r="D16" s="14">
        <v>1119</v>
      </c>
      <c r="E16" s="14">
        <v>1071</v>
      </c>
      <c r="F16" s="15">
        <f t="shared" ref="F16:F28" si="0">IFERROR(I16/C16,0)</f>
        <v>306.66562988705476</v>
      </c>
      <c r="G16" s="15">
        <f t="shared" ref="G16:G28" si="1">IFERROR(J16/D16,0)</f>
        <v>350.81836461126005</v>
      </c>
      <c r="H16" s="15">
        <f t="shared" ref="H16:H28" si="2">IFERROR(K16/E16,0)</f>
        <v>352.20615312791779</v>
      </c>
      <c r="I16" s="16">
        <v>352972.14</v>
      </c>
      <c r="J16" s="16">
        <v>392565.75</v>
      </c>
      <c r="K16" s="16">
        <v>377212.79</v>
      </c>
      <c r="L16" s="17">
        <f t="shared" ref="L16:L27" si="3">I16*O16</f>
        <v>0</v>
      </c>
      <c r="M16" s="17">
        <f t="shared" ref="M16:M27" si="4">J16*P16</f>
        <v>0</v>
      </c>
      <c r="N16" s="17">
        <f t="shared" ref="N16:N27" si="5">K16*Q16</f>
        <v>0</v>
      </c>
      <c r="O16" s="18"/>
      <c r="P16" s="18"/>
      <c r="Q16" s="18"/>
      <c r="R16" s="17">
        <f t="shared" ref="R16:R27" si="6">I16-L16</f>
        <v>352972.14</v>
      </c>
      <c r="S16" s="17">
        <f t="shared" ref="S16:S27" si="7">J16-M16</f>
        <v>392565.75</v>
      </c>
      <c r="T16" s="17">
        <f t="shared" ref="T16:T27" si="8">K16-N16</f>
        <v>377212.79</v>
      </c>
      <c r="U16" s="2"/>
      <c r="V16" s="2"/>
    </row>
    <row r="17" spans="1:22" x14ac:dyDescent="0.25">
      <c r="A17" s="2"/>
      <c r="B17" s="13" t="s">
        <v>19</v>
      </c>
      <c r="C17" s="14">
        <v>2090</v>
      </c>
      <c r="D17" s="14">
        <v>2517</v>
      </c>
      <c r="E17" s="14">
        <v>2440</v>
      </c>
      <c r="F17" s="15">
        <f t="shared" si="0"/>
        <v>365.66014832535882</v>
      </c>
      <c r="G17" s="15">
        <f t="shared" si="1"/>
        <v>405.5599682161303</v>
      </c>
      <c r="H17" s="15">
        <f t="shared" si="2"/>
        <v>408.05326229508194</v>
      </c>
      <c r="I17" s="16">
        <v>764229.71</v>
      </c>
      <c r="J17" s="16">
        <v>1020794.44</v>
      </c>
      <c r="K17" s="16">
        <v>995649.96</v>
      </c>
      <c r="L17" s="17">
        <f t="shared" si="3"/>
        <v>0</v>
      </c>
      <c r="M17" s="17">
        <f t="shared" si="4"/>
        <v>0</v>
      </c>
      <c r="N17" s="17">
        <f t="shared" si="5"/>
        <v>0</v>
      </c>
      <c r="O17" s="18"/>
      <c r="P17" s="18"/>
      <c r="Q17" s="18"/>
      <c r="R17" s="17">
        <f t="shared" si="6"/>
        <v>764229.71</v>
      </c>
      <c r="S17" s="17">
        <f t="shared" si="7"/>
        <v>1020794.44</v>
      </c>
      <c r="T17" s="17">
        <f t="shared" si="8"/>
        <v>995649.96</v>
      </c>
      <c r="U17" s="2"/>
      <c r="V17" s="2"/>
    </row>
    <row r="18" spans="1:22" x14ac:dyDescent="0.25">
      <c r="A18" s="2"/>
      <c r="B18" s="13" t="s">
        <v>20</v>
      </c>
      <c r="C18" s="14">
        <v>277</v>
      </c>
      <c r="D18" s="14">
        <v>247</v>
      </c>
      <c r="E18" s="14">
        <v>239</v>
      </c>
      <c r="F18" s="15">
        <f t="shared" si="0"/>
        <v>318.39797833935017</v>
      </c>
      <c r="G18" s="15">
        <f t="shared" si="1"/>
        <v>352.71692307692308</v>
      </c>
      <c r="H18" s="15">
        <f t="shared" si="2"/>
        <v>365.60313807531378</v>
      </c>
      <c r="I18" s="16">
        <v>88196.24</v>
      </c>
      <c r="J18" s="16">
        <v>87121.08</v>
      </c>
      <c r="K18" s="16">
        <v>87379.15</v>
      </c>
      <c r="L18" s="17">
        <f t="shared" si="3"/>
        <v>0</v>
      </c>
      <c r="M18" s="17">
        <f t="shared" si="4"/>
        <v>0</v>
      </c>
      <c r="N18" s="17">
        <f t="shared" si="5"/>
        <v>0</v>
      </c>
      <c r="O18" s="18"/>
      <c r="P18" s="18"/>
      <c r="Q18" s="18"/>
      <c r="R18" s="17">
        <f t="shared" si="6"/>
        <v>88196.24</v>
      </c>
      <c r="S18" s="17">
        <f t="shared" si="7"/>
        <v>87121.08</v>
      </c>
      <c r="T18" s="17">
        <f t="shared" si="8"/>
        <v>87379.15</v>
      </c>
      <c r="U18" s="2"/>
      <c r="V18" s="2"/>
    </row>
    <row r="19" spans="1:22" x14ac:dyDescent="0.25">
      <c r="A19" s="2"/>
      <c r="B19" s="13" t="s">
        <v>21</v>
      </c>
      <c r="C19" s="14">
        <v>332</v>
      </c>
      <c r="D19" s="14">
        <v>433</v>
      </c>
      <c r="E19" s="14">
        <v>334</v>
      </c>
      <c r="F19" s="15">
        <f t="shared" si="0"/>
        <v>256.62617469879518</v>
      </c>
      <c r="G19" s="15">
        <f t="shared" si="1"/>
        <v>241.7787297921478</v>
      </c>
      <c r="H19" s="15">
        <f t="shared" si="2"/>
        <v>274.9885628742515</v>
      </c>
      <c r="I19" s="16">
        <v>85199.89</v>
      </c>
      <c r="J19" s="16">
        <v>104690.19</v>
      </c>
      <c r="K19" s="16">
        <v>91846.18</v>
      </c>
      <c r="L19" s="17">
        <f t="shared" si="3"/>
        <v>0</v>
      </c>
      <c r="M19" s="17">
        <f t="shared" si="4"/>
        <v>0</v>
      </c>
      <c r="N19" s="17">
        <f t="shared" si="5"/>
        <v>0</v>
      </c>
      <c r="O19" s="18"/>
      <c r="P19" s="18"/>
      <c r="Q19" s="18"/>
      <c r="R19" s="17">
        <f t="shared" si="6"/>
        <v>85199.89</v>
      </c>
      <c r="S19" s="17">
        <f t="shared" si="7"/>
        <v>104690.19</v>
      </c>
      <c r="T19" s="17">
        <f t="shared" si="8"/>
        <v>91846.18</v>
      </c>
      <c r="U19" s="2"/>
      <c r="V19" s="2"/>
    </row>
    <row r="20" spans="1:22" x14ac:dyDescent="0.25">
      <c r="A20" s="2"/>
      <c r="B20" s="13" t="s">
        <v>22</v>
      </c>
      <c r="C20" s="14"/>
      <c r="D20" s="14"/>
      <c r="E20" s="14">
        <v>128</v>
      </c>
      <c r="F20" s="15">
        <f t="shared" si="0"/>
        <v>0</v>
      </c>
      <c r="G20" s="15">
        <f t="shared" si="1"/>
        <v>0</v>
      </c>
      <c r="H20" s="15">
        <f t="shared" si="2"/>
        <v>24.484375</v>
      </c>
      <c r="I20" s="16"/>
      <c r="J20" s="16"/>
      <c r="K20" s="16">
        <v>3134</v>
      </c>
      <c r="L20" s="17">
        <f t="shared" si="3"/>
        <v>0</v>
      </c>
      <c r="M20" s="17">
        <f t="shared" si="4"/>
        <v>0</v>
      </c>
      <c r="N20" s="17">
        <f t="shared" si="5"/>
        <v>0</v>
      </c>
      <c r="O20" s="18"/>
      <c r="P20" s="18"/>
      <c r="Q20" s="18"/>
      <c r="R20" s="17">
        <f t="shared" si="6"/>
        <v>0</v>
      </c>
      <c r="S20" s="17">
        <f t="shared" si="7"/>
        <v>0</v>
      </c>
      <c r="T20" s="17">
        <f t="shared" si="8"/>
        <v>3134</v>
      </c>
      <c r="U20" s="2"/>
      <c r="V20" s="2"/>
    </row>
    <row r="21" spans="1:22" x14ac:dyDescent="0.25">
      <c r="A21" s="2"/>
      <c r="B21" s="19" t="s">
        <v>23</v>
      </c>
      <c r="C21" s="14"/>
      <c r="D21" s="14"/>
      <c r="E21" s="14"/>
      <c r="F21" s="15">
        <f t="shared" si="0"/>
        <v>0</v>
      </c>
      <c r="G21" s="15">
        <f t="shared" si="1"/>
        <v>0</v>
      </c>
      <c r="H21" s="15">
        <f t="shared" si="2"/>
        <v>0</v>
      </c>
      <c r="I21" s="16">
        <v>21708.45</v>
      </c>
      <c r="J21" s="16">
        <v>27214.03</v>
      </c>
      <c r="K21" s="16">
        <v>16502.96</v>
      </c>
      <c r="L21" s="17">
        <f t="shared" si="3"/>
        <v>0</v>
      </c>
      <c r="M21" s="17">
        <f t="shared" si="4"/>
        <v>0</v>
      </c>
      <c r="N21" s="17">
        <f t="shared" si="5"/>
        <v>0</v>
      </c>
      <c r="O21" s="18"/>
      <c r="P21" s="18"/>
      <c r="Q21" s="18"/>
      <c r="R21" s="17">
        <f t="shared" si="6"/>
        <v>21708.45</v>
      </c>
      <c r="S21" s="17">
        <f t="shared" si="7"/>
        <v>27214.03</v>
      </c>
      <c r="T21" s="17">
        <f t="shared" si="8"/>
        <v>16502.96</v>
      </c>
      <c r="U21" s="2"/>
      <c r="V21" s="2"/>
    </row>
    <row r="22" spans="1:22" x14ac:dyDescent="0.25">
      <c r="A22" s="2"/>
      <c r="B22" s="19" t="s">
        <v>24</v>
      </c>
      <c r="C22" s="14">
        <v>41</v>
      </c>
      <c r="D22" s="14"/>
      <c r="E22" s="14"/>
      <c r="F22" s="15">
        <f t="shared" si="0"/>
        <v>646.90853658536582</v>
      </c>
      <c r="G22" s="15">
        <f t="shared" si="1"/>
        <v>0</v>
      </c>
      <c r="H22" s="15">
        <f t="shared" si="2"/>
        <v>0</v>
      </c>
      <c r="I22" s="16">
        <v>26523.25</v>
      </c>
      <c r="J22" s="16"/>
      <c r="K22" s="16"/>
      <c r="L22" s="17">
        <f t="shared" si="3"/>
        <v>0</v>
      </c>
      <c r="M22" s="17">
        <f t="shared" si="4"/>
        <v>0</v>
      </c>
      <c r="N22" s="17">
        <f t="shared" si="5"/>
        <v>0</v>
      </c>
      <c r="O22" s="18"/>
      <c r="P22" s="18"/>
      <c r="Q22" s="18"/>
      <c r="R22" s="17">
        <f t="shared" si="6"/>
        <v>26523.25</v>
      </c>
      <c r="S22" s="17">
        <f t="shared" si="7"/>
        <v>0</v>
      </c>
      <c r="T22" s="17">
        <f t="shared" si="8"/>
        <v>0</v>
      </c>
      <c r="U22" s="2"/>
      <c r="V22" s="2"/>
    </row>
    <row r="23" spans="1:22" x14ac:dyDescent="0.25">
      <c r="A23" s="2"/>
      <c r="B23" s="13" t="s">
        <v>25</v>
      </c>
      <c r="C23" s="14">
        <v>1792</v>
      </c>
      <c r="D23" s="14">
        <v>1878</v>
      </c>
      <c r="E23" s="14">
        <v>2129</v>
      </c>
      <c r="F23" s="15">
        <f t="shared" si="0"/>
        <v>271.74590401785713</v>
      </c>
      <c r="G23" s="15">
        <f t="shared" si="1"/>
        <v>290.57371139510121</v>
      </c>
      <c r="H23" s="15">
        <f t="shared" si="2"/>
        <v>261.54910286519493</v>
      </c>
      <c r="I23" s="16">
        <v>486968.66</v>
      </c>
      <c r="J23" s="16">
        <v>545697.43000000005</v>
      </c>
      <c r="K23" s="16">
        <v>556838.04</v>
      </c>
      <c r="L23" s="17">
        <f t="shared" si="3"/>
        <v>0</v>
      </c>
      <c r="M23" s="17">
        <f t="shared" si="4"/>
        <v>0</v>
      </c>
      <c r="N23" s="17">
        <f t="shared" si="5"/>
        <v>0</v>
      </c>
      <c r="O23" s="18"/>
      <c r="P23" s="18"/>
      <c r="Q23" s="18"/>
      <c r="R23" s="17">
        <f t="shared" si="6"/>
        <v>486968.66</v>
      </c>
      <c r="S23" s="17">
        <f t="shared" si="7"/>
        <v>545697.43000000005</v>
      </c>
      <c r="T23" s="17">
        <f t="shared" si="8"/>
        <v>556838.04</v>
      </c>
      <c r="U23" s="2"/>
      <c r="V23" s="2"/>
    </row>
    <row r="24" spans="1:22" x14ac:dyDescent="0.25">
      <c r="A24" s="2"/>
      <c r="B24" s="13" t="s">
        <v>26</v>
      </c>
      <c r="C24" s="14">
        <v>2364</v>
      </c>
      <c r="D24" s="14">
        <v>1849</v>
      </c>
      <c r="E24" s="14">
        <v>2114</v>
      </c>
      <c r="F24" s="15">
        <f t="shared" si="0"/>
        <v>12.567470389170897</v>
      </c>
      <c r="G24" s="15">
        <f t="shared" si="1"/>
        <v>12.575527312060574</v>
      </c>
      <c r="H24" s="15">
        <f t="shared" si="2"/>
        <v>13.22070009460738</v>
      </c>
      <c r="I24" s="16">
        <v>29709.5</v>
      </c>
      <c r="J24" s="16">
        <v>23252.15</v>
      </c>
      <c r="K24" s="16">
        <v>27948.560000000001</v>
      </c>
      <c r="L24" s="17">
        <f t="shared" si="3"/>
        <v>0</v>
      </c>
      <c r="M24" s="17">
        <f t="shared" si="4"/>
        <v>0</v>
      </c>
      <c r="N24" s="17">
        <f t="shared" si="5"/>
        <v>0</v>
      </c>
      <c r="O24" s="18"/>
      <c r="P24" s="18"/>
      <c r="Q24" s="18"/>
      <c r="R24" s="17">
        <f t="shared" si="6"/>
        <v>29709.5</v>
      </c>
      <c r="S24" s="17">
        <f t="shared" si="7"/>
        <v>23252.15</v>
      </c>
      <c r="T24" s="17">
        <f t="shared" si="8"/>
        <v>27948.560000000001</v>
      </c>
      <c r="U24" s="2"/>
      <c r="V24" s="2"/>
    </row>
    <row r="25" spans="1:22" x14ac:dyDescent="0.25">
      <c r="A25" s="2"/>
      <c r="B25" s="19" t="s">
        <v>27</v>
      </c>
      <c r="C25" s="14">
        <v>112</v>
      </c>
      <c r="D25" s="14">
        <v>59</v>
      </c>
      <c r="E25" s="14"/>
      <c r="F25" s="15">
        <f t="shared" si="0"/>
        <v>261.04732142857142</v>
      </c>
      <c r="G25" s="15">
        <f t="shared" si="1"/>
        <v>187.32542372881358</v>
      </c>
      <c r="H25" s="15">
        <f t="shared" si="2"/>
        <v>0</v>
      </c>
      <c r="I25" s="16">
        <v>29237.3</v>
      </c>
      <c r="J25" s="16">
        <v>11052.2</v>
      </c>
      <c r="K25" s="16"/>
      <c r="L25" s="17">
        <f t="shared" si="3"/>
        <v>0</v>
      </c>
      <c r="M25" s="17">
        <f t="shared" si="4"/>
        <v>0</v>
      </c>
      <c r="N25" s="17">
        <f t="shared" si="5"/>
        <v>0</v>
      </c>
      <c r="O25" s="18"/>
      <c r="P25" s="18"/>
      <c r="Q25" s="18"/>
      <c r="R25" s="17">
        <f t="shared" si="6"/>
        <v>29237.3</v>
      </c>
      <c r="S25" s="17">
        <f t="shared" si="7"/>
        <v>11052.2</v>
      </c>
      <c r="T25" s="17">
        <f t="shared" si="8"/>
        <v>0</v>
      </c>
      <c r="U25" s="2"/>
      <c r="V25" s="2"/>
    </row>
    <row r="26" spans="1:22" x14ac:dyDescent="0.25">
      <c r="A26" s="2"/>
      <c r="B26" s="13" t="s">
        <v>28</v>
      </c>
      <c r="C26" s="14"/>
      <c r="D26" s="14"/>
      <c r="E26" s="14"/>
      <c r="F26" s="15">
        <f t="shared" si="0"/>
        <v>0</v>
      </c>
      <c r="G26" s="15">
        <f t="shared" si="1"/>
        <v>0</v>
      </c>
      <c r="H26" s="15">
        <f t="shared" si="2"/>
        <v>0</v>
      </c>
      <c r="I26" s="16">
        <v>3090.71</v>
      </c>
      <c r="J26" s="16">
        <v>4505.13</v>
      </c>
      <c r="K26" s="16">
        <v>6103.25</v>
      </c>
      <c r="L26" s="17">
        <f t="shared" si="3"/>
        <v>0</v>
      </c>
      <c r="M26" s="17">
        <f t="shared" si="4"/>
        <v>0</v>
      </c>
      <c r="N26" s="17">
        <f t="shared" si="5"/>
        <v>0</v>
      </c>
      <c r="O26" s="18"/>
      <c r="P26" s="18"/>
      <c r="Q26" s="18"/>
      <c r="R26" s="17">
        <f t="shared" si="6"/>
        <v>3090.71</v>
      </c>
      <c r="S26" s="17">
        <f t="shared" si="7"/>
        <v>4505.13</v>
      </c>
      <c r="T26" s="17">
        <f t="shared" si="8"/>
        <v>6103.25</v>
      </c>
      <c r="U26" s="2"/>
      <c r="V26" s="2"/>
    </row>
    <row r="27" spans="1:22" x14ac:dyDescent="0.25">
      <c r="A27" s="2"/>
      <c r="B27" s="19" t="s">
        <v>29</v>
      </c>
      <c r="C27" s="14"/>
      <c r="D27" s="14"/>
      <c r="E27" s="14"/>
      <c r="F27" s="15">
        <f t="shared" si="0"/>
        <v>0</v>
      </c>
      <c r="G27" s="15">
        <f t="shared" si="1"/>
        <v>0</v>
      </c>
      <c r="H27" s="15">
        <f t="shared" si="2"/>
        <v>0</v>
      </c>
      <c r="I27" s="16">
        <v>108454.67</v>
      </c>
      <c r="J27" s="16">
        <v>80461.41</v>
      </c>
      <c r="K27" s="16">
        <v>78419.48</v>
      </c>
      <c r="L27" s="17">
        <f t="shared" si="3"/>
        <v>0</v>
      </c>
      <c r="M27" s="17">
        <f t="shared" si="4"/>
        <v>0</v>
      </c>
      <c r="N27" s="17">
        <f t="shared" si="5"/>
        <v>0</v>
      </c>
      <c r="O27" s="18"/>
      <c r="P27" s="18"/>
      <c r="Q27" s="18"/>
      <c r="R27" s="17">
        <f t="shared" si="6"/>
        <v>108454.67</v>
      </c>
      <c r="S27" s="17">
        <f t="shared" si="7"/>
        <v>80461.41</v>
      </c>
      <c r="T27" s="17">
        <f t="shared" si="8"/>
        <v>78419.48</v>
      </c>
      <c r="U27" s="2"/>
      <c r="V27" s="2"/>
    </row>
    <row r="28" spans="1:22" x14ac:dyDescent="0.25">
      <c r="A28" s="2"/>
      <c r="B28" s="20" t="s">
        <v>30</v>
      </c>
      <c r="C28" s="21">
        <f>SUM(C16:C27)</f>
        <v>8159</v>
      </c>
      <c r="D28" s="21">
        <f>SUM(D16:D27)</f>
        <v>8102</v>
      </c>
      <c r="E28" s="21">
        <f>SUM(E16:E27)</f>
        <v>8455</v>
      </c>
      <c r="F28" s="22">
        <f t="shared" si="0"/>
        <v>244.67343056747148</v>
      </c>
      <c r="G28" s="22">
        <f t="shared" si="1"/>
        <v>283.5539138484325</v>
      </c>
      <c r="H28" s="22">
        <f t="shared" si="2"/>
        <v>265.05433116499114</v>
      </c>
      <c r="I28" s="23">
        <f t="shared" ref="I28:N28" si="9">SUM(I16:I27)</f>
        <v>1996290.5199999998</v>
      </c>
      <c r="J28" s="23">
        <f t="shared" si="9"/>
        <v>2297353.81</v>
      </c>
      <c r="K28" s="23">
        <f t="shared" si="9"/>
        <v>2241034.37</v>
      </c>
      <c r="L28" s="23">
        <f t="shared" si="9"/>
        <v>0</v>
      </c>
      <c r="M28" s="23">
        <f t="shared" si="9"/>
        <v>0</v>
      </c>
      <c r="N28" s="23">
        <f t="shared" si="9"/>
        <v>0</v>
      </c>
      <c r="O28" s="24">
        <f>IFERROR(L28/I28,0)</f>
        <v>0</v>
      </c>
      <c r="P28" s="24">
        <f>IFERROR(M28/J28,0)</f>
        <v>0</v>
      </c>
      <c r="Q28" s="24">
        <f>IFERROR(N28/K28,0)</f>
        <v>0</v>
      </c>
      <c r="R28" s="23">
        <f>SUM(R16:R27)</f>
        <v>1996290.5199999998</v>
      </c>
      <c r="S28" s="23">
        <f>SUM(S16:S27)</f>
        <v>2297353.81</v>
      </c>
      <c r="T28" s="23">
        <f>SUM(T16:T27)</f>
        <v>2241034.37</v>
      </c>
      <c r="U28" s="2"/>
      <c r="V28" s="2"/>
    </row>
    <row r="29" spans="1:2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x14ac:dyDescent="0.25">
      <c r="A30" s="2"/>
      <c r="B30" s="25" t="s">
        <v>31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x14ac:dyDescent="0.25">
      <c r="A31" s="2"/>
      <c r="B31" s="26" t="s">
        <v>32</v>
      </c>
      <c r="C31" s="2"/>
      <c r="D31" s="2"/>
      <c r="E31" s="2"/>
      <c r="F31" s="2"/>
      <c r="G31" s="2"/>
      <c r="H31" s="2"/>
      <c r="I31" s="11">
        <v>1996290.52</v>
      </c>
      <c r="J31" s="11">
        <v>2297353.81</v>
      </c>
      <c r="K31" s="11">
        <v>2241034.37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x14ac:dyDescent="0.25">
      <c r="A32" s="2"/>
      <c r="B32" s="26" t="s">
        <v>33</v>
      </c>
      <c r="C32" s="2"/>
      <c r="D32" s="2"/>
      <c r="E32" s="2"/>
      <c r="F32" s="2"/>
      <c r="G32" s="2"/>
      <c r="H32" s="2"/>
      <c r="I32" s="11">
        <f>I28-I31</f>
        <v>0</v>
      </c>
      <c r="J32" s="11">
        <f>J28-J31</f>
        <v>0</v>
      </c>
      <c r="K32" s="11">
        <f>K28-K31</f>
        <v>0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x14ac:dyDescent="0.25">
      <c r="A33" s="2"/>
      <c r="B33" s="26" t="s">
        <v>34</v>
      </c>
      <c r="C33" s="2"/>
      <c r="D33" s="27">
        <f>D28/C28-1</f>
        <v>-6.9861502635126804E-3</v>
      </c>
      <c r="E33" s="27">
        <f>E28/D28-1</f>
        <v>4.3569489015057972E-2</v>
      </c>
      <c r="F33" s="2"/>
      <c r="G33" s="2"/>
      <c r="H33" s="2"/>
      <c r="I33" s="2"/>
      <c r="J33" s="27">
        <f>J28/I28-1</f>
        <v>0.15081136086344804</v>
      </c>
      <c r="K33" s="27">
        <f>K28/J28-1</f>
        <v>-2.4514917882848875E-2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x14ac:dyDescent="0.25">
      <c r="A35" s="2"/>
      <c r="B35" s="25" t="s">
        <v>35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x14ac:dyDescent="0.25">
      <c r="A36" s="2"/>
      <c r="B36" s="2" t="s">
        <v>36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x14ac:dyDescent="0.25">
      <c r="A37" s="2"/>
      <c r="B37" s="2" t="s">
        <v>37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x14ac:dyDescent="0.25">
      <c r="A38" s="2"/>
      <c r="B38" s="2" t="s">
        <v>38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x14ac:dyDescent="0.25">
      <c r="A40" s="2"/>
      <c r="B40" s="28" t="s">
        <v>39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x14ac:dyDescent="0.25">
      <c r="A41" s="2"/>
      <c r="B41" s="2" t="s">
        <v>40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x14ac:dyDescent="0.25">
      <c r="A42" s="2"/>
      <c r="B42" s="2" t="s">
        <v>41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x14ac:dyDescent="0.25">
      <c r="A44" s="2"/>
      <c r="B44" s="28" t="s">
        <v>42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x14ac:dyDescent="0.25">
      <c r="A46" s="2"/>
      <c r="B46" s="2" t="s">
        <v>43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x14ac:dyDescent="0.25">
      <c r="B47" s="29" t="s">
        <v>44</v>
      </c>
    </row>
    <row r="48" spans="1:22" x14ac:dyDescent="0.25">
      <c r="B48" s="29"/>
    </row>
    <row r="49" spans="2:2" x14ac:dyDescent="0.25">
      <c r="B49" s="29" t="s">
        <v>45</v>
      </c>
    </row>
    <row r="50" spans="2:2" x14ac:dyDescent="0.25">
      <c r="B50" s="29" t="s">
        <v>46</v>
      </c>
    </row>
    <row r="51" spans="2:2" x14ac:dyDescent="0.25">
      <c r="B51" s="29"/>
    </row>
    <row r="52" spans="2:2" x14ac:dyDescent="0.25">
      <c r="B52" s="30" t="s">
        <v>47</v>
      </c>
    </row>
  </sheetData>
  <mergeCells count="7">
    <mergeCell ref="O14:Q14"/>
    <mergeCell ref="R14:T14"/>
    <mergeCell ref="B14:B15"/>
    <mergeCell ref="C14:E14"/>
    <mergeCell ref="F14:H14"/>
    <mergeCell ref="I14:K14"/>
    <mergeCell ref="L14:N14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40"/>
  <sheetViews>
    <sheetView showGridLines="0" topLeftCell="A6" zoomScaleNormal="100" workbookViewId="0">
      <selection activeCell="C10" sqref="C10"/>
    </sheetView>
  </sheetViews>
  <sheetFormatPr defaultColWidth="8.7109375" defaultRowHeight="15" x14ac:dyDescent="0.25"/>
  <cols>
    <col min="1" max="1" width="2" customWidth="1"/>
    <col min="2" max="2" width="38" customWidth="1"/>
    <col min="3" max="3" width="40" customWidth="1"/>
    <col min="4" max="4" width="30" customWidth="1"/>
    <col min="5" max="5" width="46" customWidth="1"/>
  </cols>
  <sheetData>
    <row r="1" spans="1:7" ht="19.5" x14ac:dyDescent="0.3">
      <c r="A1" s="2"/>
      <c r="B1" s="31" t="s">
        <v>48</v>
      </c>
      <c r="C1" s="2"/>
      <c r="D1" s="2"/>
      <c r="E1" s="2"/>
      <c r="F1" s="2"/>
      <c r="G1" s="2"/>
    </row>
    <row r="2" spans="1:7" x14ac:dyDescent="0.25">
      <c r="A2" s="2"/>
      <c r="B2" s="32" t="s">
        <v>49</v>
      </c>
      <c r="C2" s="2"/>
      <c r="D2" s="2"/>
      <c r="E2" s="2"/>
      <c r="F2" s="2"/>
      <c r="G2" s="2"/>
    </row>
    <row r="3" spans="1:7" x14ac:dyDescent="0.25">
      <c r="A3" s="2"/>
      <c r="B3" s="2"/>
      <c r="C3" s="2"/>
      <c r="D3" s="2"/>
      <c r="E3" s="2"/>
      <c r="F3" s="2"/>
      <c r="G3" s="2"/>
    </row>
    <row r="4" spans="1:7" x14ac:dyDescent="0.25">
      <c r="A4" s="2"/>
      <c r="B4" s="33" t="s">
        <v>50</v>
      </c>
      <c r="C4" s="33" t="s">
        <v>51</v>
      </c>
      <c r="D4" s="33" t="s">
        <v>52</v>
      </c>
      <c r="E4" s="33" t="s">
        <v>53</v>
      </c>
      <c r="F4" s="2"/>
      <c r="G4" s="2"/>
    </row>
    <row r="5" spans="1:7" ht="91.5" customHeight="1" x14ac:dyDescent="0.25">
      <c r="A5" s="2"/>
      <c r="B5" s="34" t="s">
        <v>18</v>
      </c>
      <c r="C5" s="35" t="s">
        <v>54</v>
      </c>
      <c r="D5" s="35" t="s">
        <v>55</v>
      </c>
      <c r="E5" s="35" t="s">
        <v>56</v>
      </c>
      <c r="F5" s="2"/>
      <c r="G5" s="2"/>
    </row>
    <row r="6" spans="1:7" ht="91.5" customHeight="1" x14ac:dyDescent="0.25">
      <c r="A6" s="2"/>
      <c r="B6" s="34" t="s">
        <v>19</v>
      </c>
      <c r="C6" s="35" t="s">
        <v>57</v>
      </c>
      <c r="D6" s="35" t="s">
        <v>58</v>
      </c>
      <c r="E6" s="35" t="s">
        <v>59</v>
      </c>
      <c r="F6" s="2"/>
      <c r="G6" s="2"/>
    </row>
    <row r="7" spans="1:7" ht="91.5" customHeight="1" x14ac:dyDescent="0.25">
      <c r="A7" s="2"/>
      <c r="B7" s="34" t="s">
        <v>20</v>
      </c>
      <c r="C7" s="35" t="s">
        <v>60</v>
      </c>
      <c r="D7" s="35" t="s">
        <v>61</v>
      </c>
      <c r="E7" s="35" t="s">
        <v>62</v>
      </c>
      <c r="F7" s="2"/>
      <c r="G7" s="2"/>
    </row>
    <row r="8" spans="1:7" ht="91.5" customHeight="1" x14ac:dyDescent="0.25">
      <c r="A8" s="2"/>
      <c r="B8" s="34" t="s">
        <v>21</v>
      </c>
      <c r="C8" s="35" t="s">
        <v>63</v>
      </c>
      <c r="D8" s="35" t="s">
        <v>64</v>
      </c>
      <c r="E8" s="35" t="s">
        <v>65</v>
      </c>
      <c r="F8" s="2"/>
      <c r="G8" s="2"/>
    </row>
    <row r="9" spans="1:7" ht="108" x14ac:dyDescent="0.25">
      <c r="A9" s="2"/>
      <c r="B9" s="34" t="s">
        <v>22</v>
      </c>
      <c r="C9" s="35" t="s">
        <v>66</v>
      </c>
      <c r="D9" s="35" t="s">
        <v>67</v>
      </c>
      <c r="E9" s="35" t="s">
        <v>68</v>
      </c>
      <c r="F9" s="2"/>
      <c r="G9" s="2"/>
    </row>
    <row r="10" spans="1:7" ht="96" x14ac:dyDescent="0.25">
      <c r="A10" s="2"/>
      <c r="B10" s="34" t="s">
        <v>23</v>
      </c>
      <c r="C10" s="35" t="s">
        <v>69</v>
      </c>
      <c r="D10" s="35" t="s">
        <v>70</v>
      </c>
      <c r="E10" s="35" t="s">
        <v>71</v>
      </c>
      <c r="F10" s="2"/>
      <c r="G10" s="2"/>
    </row>
    <row r="11" spans="1:7" ht="91.5" customHeight="1" x14ac:dyDescent="0.25">
      <c r="A11" s="2"/>
      <c r="B11" s="34" t="s">
        <v>24</v>
      </c>
      <c r="C11" s="35" t="s">
        <v>72</v>
      </c>
      <c r="D11" s="35" t="s">
        <v>73</v>
      </c>
      <c r="E11" s="35" t="s">
        <v>74</v>
      </c>
      <c r="F11" s="2"/>
      <c r="G11" s="2"/>
    </row>
    <row r="12" spans="1:7" ht="91.5" customHeight="1" x14ac:dyDescent="0.25">
      <c r="A12" s="2"/>
      <c r="B12" s="34" t="s">
        <v>25</v>
      </c>
      <c r="C12" s="35" t="s">
        <v>75</v>
      </c>
      <c r="D12" s="35" t="s">
        <v>76</v>
      </c>
      <c r="E12" s="35" t="s">
        <v>77</v>
      </c>
      <c r="F12" s="2"/>
      <c r="G12" s="2"/>
    </row>
    <row r="13" spans="1:7" ht="91.5" customHeight="1" x14ac:dyDescent="0.25">
      <c r="A13" s="2"/>
      <c r="B13" s="34" t="s">
        <v>26</v>
      </c>
      <c r="C13" s="35" t="s">
        <v>78</v>
      </c>
      <c r="D13" s="35" t="s">
        <v>79</v>
      </c>
      <c r="E13" s="35" t="s">
        <v>80</v>
      </c>
      <c r="F13" s="2"/>
      <c r="G13" s="2"/>
    </row>
    <row r="14" spans="1:7" ht="91.5" customHeight="1" x14ac:dyDescent="0.25">
      <c r="A14" s="2"/>
      <c r="B14" s="34" t="s">
        <v>27</v>
      </c>
      <c r="C14" s="35" t="s">
        <v>81</v>
      </c>
      <c r="D14" s="35" t="s">
        <v>82</v>
      </c>
      <c r="E14" s="35" t="s">
        <v>83</v>
      </c>
      <c r="F14" s="2"/>
      <c r="G14" s="2"/>
    </row>
    <row r="15" spans="1:7" ht="91.5" customHeight="1" x14ac:dyDescent="0.25">
      <c r="A15" s="2"/>
      <c r="B15" s="34" t="s">
        <v>28</v>
      </c>
      <c r="C15" s="35" t="s">
        <v>84</v>
      </c>
      <c r="D15" s="35" t="s">
        <v>85</v>
      </c>
      <c r="E15" s="35" t="s">
        <v>86</v>
      </c>
      <c r="F15" s="2"/>
      <c r="G15" s="2"/>
    </row>
    <row r="16" spans="1:7" ht="91.5" customHeight="1" x14ac:dyDescent="0.25">
      <c r="A16" s="2"/>
      <c r="B16" s="34" t="s">
        <v>29</v>
      </c>
      <c r="C16" s="35" t="s">
        <v>87</v>
      </c>
      <c r="D16" s="35" t="s">
        <v>88</v>
      </c>
      <c r="E16" s="35" t="s">
        <v>89</v>
      </c>
      <c r="F16" s="2"/>
      <c r="G16" s="2"/>
    </row>
    <row r="17" spans="1:7" x14ac:dyDescent="0.25">
      <c r="A17" s="2"/>
      <c r="B17" s="2"/>
      <c r="C17" s="2"/>
      <c r="D17" s="2"/>
      <c r="E17" s="2"/>
      <c r="F17" s="2"/>
      <c r="G17" s="2"/>
    </row>
    <row r="18" spans="1:7" x14ac:dyDescent="0.25">
      <c r="A18" s="2"/>
      <c r="B18" s="36" t="s">
        <v>90</v>
      </c>
      <c r="C18" s="2"/>
      <c r="D18" s="2"/>
      <c r="E18" s="2"/>
      <c r="F18" s="2"/>
      <c r="G18" s="2"/>
    </row>
    <row r="19" spans="1:7" x14ac:dyDescent="0.25">
      <c r="A19" s="2"/>
      <c r="B19" s="2" t="s">
        <v>91</v>
      </c>
      <c r="C19" s="2"/>
      <c r="D19" s="2"/>
      <c r="E19" s="2"/>
      <c r="F19" s="2"/>
      <c r="G19" s="2"/>
    </row>
    <row r="20" spans="1:7" x14ac:dyDescent="0.25">
      <c r="A20" s="2"/>
      <c r="B20" s="2" t="s">
        <v>92</v>
      </c>
      <c r="C20" s="2"/>
      <c r="D20" s="2"/>
      <c r="E20" s="2"/>
      <c r="F20" s="2"/>
      <c r="G20" s="2"/>
    </row>
    <row r="21" spans="1:7" x14ac:dyDescent="0.25">
      <c r="A21" s="2"/>
      <c r="B21" s="2" t="s">
        <v>93</v>
      </c>
      <c r="C21" s="2"/>
      <c r="D21" s="2"/>
      <c r="E21" s="2"/>
      <c r="F21" s="2"/>
      <c r="G21" s="2"/>
    </row>
    <row r="22" spans="1:7" x14ac:dyDescent="0.25">
      <c r="A22" s="2"/>
      <c r="B22" s="2" t="s">
        <v>94</v>
      </c>
      <c r="C22" s="2"/>
      <c r="D22" s="2"/>
      <c r="E22" s="2"/>
      <c r="F22" s="2"/>
      <c r="G22" s="2"/>
    </row>
    <row r="23" spans="1:7" x14ac:dyDescent="0.25">
      <c r="A23" s="2"/>
      <c r="B23" s="2"/>
      <c r="C23" s="2"/>
      <c r="D23" s="2"/>
      <c r="E23" s="2"/>
      <c r="F23" s="2"/>
      <c r="G23" s="2"/>
    </row>
    <row r="24" spans="1:7" x14ac:dyDescent="0.25">
      <c r="A24" s="2"/>
      <c r="B24" s="5" t="s">
        <v>95</v>
      </c>
      <c r="C24" s="2"/>
      <c r="D24" s="2"/>
      <c r="E24" s="2"/>
      <c r="F24" s="2"/>
      <c r="G24" s="2"/>
    </row>
    <row r="25" spans="1:7" x14ac:dyDescent="0.25">
      <c r="A25" s="2"/>
      <c r="B25" s="2"/>
      <c r="C25" s="2"/>
      <c r="D25" s="2"/>
      <c r="E25" s="2"/>
      <c r="F25" s="2"/>
      <c r="G25" s="2"/>
    </row>
    <row r="26" spans="1:7" x14ac:dyDescent="0.25">
      <c r="A26" s="2"/>
      <c r="B26" s="2"/>
      <c r="C26" s="2"/>
      <c r="D26" s="2"/>
      <c r="E26" s="2"/>
      <c r="F26" s="2"/>
      <c r="G26" s="2"/>
    </row>
    <row r="27" spans="1:7" x14ac:dyDescent="0.25">
      <c r="A27" s="2"/>
      <c r="B27" s="2"/>
      <c r="C27" s="2"/>
      <c r="D27" s="2"/>
      <c r="E27" s="2"/>
      <c r="F27" s="2"/>
      <c r="G27" s="2"/>
    </row>
    <row r="28" spans="1:7" x14ac:dyDescent="0.25">
      <c r="A28" s="2"/>
      <c r="B28" s="2"/>
      <c r="C28" s="2"/>
      <c r="D28" s="2"/>
      <c r="E28" s="2"/>
      <c r="F28" s="2"/>
      <c r="G28" s="2"/>
    </row>
    <row r="29" spans="1:7" x14ac:dyDescent="0.25">
      <c r="A29" s="2"/>
      <c r="B29" s="2"/>
      <c r="C29" s="2"/>
      <c r="D29" s="2"/>
      <c r="E29" s="2"/>
      <c r="F29" s="2"/>
      <c r="G29" s="2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2"/>
      <c r="B31" s="2"/>
      <c r="C31" s="2"/>
      <c r="D31" s="2"/>
      <c r="E31" s="2"/>
      <c r="F31" s="2"/>
      <c r="G31" s="2"/>
    </row>
    <row r="32" spans="1:7" x14ac:dyDescent="0.25">
      <c r="A32" s="2"/>
      <c r="B32" s="2"/>
      <c r="C32" s="2"/>
      <c r="D32" s="2"/>
      <c r="E32" s="2"/>
      <c r="F32" s="2"/>
      <c r="G32" s="2"/>
    </row>
    <row r="33" spans="1:7" x14ac:dyDescent="0.25">
      <c r="A33" s="2"/>
      <c r="B33" s="2"/>
      <c r="C33" s="2"/>
      <c r="D33" s="2"/>
      <c r="E33" s="2"/>
      <c r="F33" s="2"/>
      <c r="G33" s="2"/>
    </row>
    <row r="34" spans="1:7" x14ac:dyDescent="0.25">
      <c r="A34" s="2"/>
      <c r="B34" s="2"/>
      <c r="C34" s="2"/>
      <c r="D34" s="2"/>
      <c r="E34" s="2"/>
      <c r="F34" s="2"/>
      <c r="G34" s="2"/>
    </row>
    <row r="35" spans="1:7" x14ac:dyDescent="0.25">
      <c r="A35" s="2"/>
      <c r="B35" s="2"/>
      <c r="C35" s="2"/>
      <c r="D35" s="2"/>
      <c r="E35" s="2"/>
      <c r="F35" s="2"/>
      <c r="G35" s="2"/>
    </row>
    <row r="36" spans="1:7" x14ac:dyDescent="0.25">
      <c r="A36" s="2"/>
      <c r="B36" s="2"/>
      <c r="C36" s="2"/>
      <c r="D36" s="2"/>
      <c r="E36" s="2"/>
      <c r="F36" s="2"/>
      <c r="G36" s="2"/>
    </row>
    <row r="37" spans="1:7" x14ac:dyDescent="0.25">
      <c r="A37" s="2"/>
      <c r="B37" s="2"/>
      <c r="C37" s="2"/>
      <c r="D37" s="2"/>
      <c r="E37" s="2"/>
      <c r="F37" s="2"/>
      <c r="G37" s="2"/>
    </row>
    <row r="38" spans="1:7" x14ac:dyDescent="0.25">
      <c r="A38" s="2"/>
      <c r="B38" s="2"/>
      <c r="C38" s="2"/>
      <c r="D38" s="2"/>
      <c r="E38" s="2"/>
      <c r="F38" s="2"/>
      <c r="G38" s="2"/>
    </row>
    <row r="39" spans="1:7" x14ac:dyDescent="0.25">
      <c r="A39" s="2"/>
      <c r="B39" s="2"/>
      <c r="C39" s="2"/>
      <c r="D39" s="2"/>
      <c r="E39" s="2"/>
      <c r="F39" s="2"/>
      <c r="G39" s="2"/>
    </row>
    <row r="40" spans="1:7" x14ac:dyDescent="0.25">
      <c r="A40" s="2"/>
      <c r="B40" s="2"/>
      <c r="C40" s="2"/>
      <c r="D40" s="2"/>
      <c r="E40" s="2"/>
      <c r="F40" s="2"/>
      <c r="G40" s="2"/>
    </row>
  </sheetData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 Performance</vt:lpstr>
      <vt:lpstr>Service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 ordinary</cp:lastModifiedBy>
  <cp:revision>0</cp:revision>
  <dcterms:created xsi:type="dcterms:W3CDTF">2026-07-28T15:47:29Z</dcterms:created>
  <dcterms:modified xsi:type="dcterms:W3CDTF">2026-07-28T16:06:03Z</dcterms:modified>
  <dc:language>en-US</dc:language>
</cp:coreProperties>
</file>