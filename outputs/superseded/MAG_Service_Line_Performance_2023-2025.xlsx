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Performance" sheetId="1" state="visible" r:id="rId3"/>
    <sheet name="Notes &amp;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<sst xmlns="http://schemas.openxmlformats.org/spreadsheetml/2006/main" count="108" uniqueCount="81">
  <si>
    <t xml:space="preserve">Maine Academy of Gymnastics</t>
  </si>
  <si>
    <t xml:space="preserve">Service Line Performance — 2023 / 2024 / 2025</t>
  </si>
  <si>
    <t xml:space="preserve">2023</t>
  </si>
  <si>
    <t xml:space="preserve">2024</t>
  </si>
  <si>
    <t xml:space="preserve">2025</t>
  </si>
  <si>
    <t xml:space="preserve">Sales Transactions</t>
  </si>
  <si>
    <t xml:space="preserve">Average Sales Transaction Value</t>
  </si>
  <si>
    <t xml:space="preserve">Total Revenue</t>
  </si>
  <si>
    <t xml:space="preserve">Cost of Sales (as a % of Revenue)</t>
  </si>
  <si>
    <t xml:space="preserve">Gross Profit</t>
  </si>
  <si>
    <t xml:space="preserve">Gross Profit (as a % of Revenue)</t>
  </si>
  <si>
    <t xml:space="preserve">Product/Service</t>
  </si>
  <si>
    <t xml:space="preserve"># Sales Transactions</t>
  </si>
  <si>
    <t xml:space="preserve">Avg. Sales Transaction Value</t>
  </si>
  <si>
    <t xml:space="preserve">Total Cost of Sales</t>
  </si>
  <si>
    <t xml:space="preserve">Cost of Sales %</t>
  </si>
  <si>
    <t xml:space="preserve">Total Gross Profit</t>
  </si>
  <si>
    <t xml:space="preserve">Preschool — The Jungle</t>
  </si>
  <si>
    <t xml:space="preserve">Girls Recreational — Wings</t>
  </si>
  <si>
    <t xml:space="preserve">Boys Recreational — Wings</t>
  </si>
  <si>
    <t xml:space="preserve">Tumbling</t>
  </si>
  <si>
    <t xml:space="preserve">Pre-Team</t>
  </si>
  <si>
    <t xml:space="preserve">Competitive Teams — American Flyers</t>
  </si>
  <si>
    <t xml:space="preserve">Open Gym</t>
  </si>
  <si>
    <t xml:space="preserve">Annual Membership Fees</t>
  </si>
  <si>
    <t xml:space="preserve">Hosted Meets — American Flyers Cup</t>
  </si>
  <si>
    <t xml:space="preserve">TOTAL — All Services</t>
  </si>
  <si>
    <t xml:space="preserve">EXAMPLE — shows expected format. Delete this row before use.</t>
  </si>
  <si>
    <t xml:space="preserve">(example) Girls Recreational — Wings</t>
  </si>
  <si>
    <t xml:space="preserve">HOW TO USE THIS SHEET</t>
  </si>
  <si>
    <t xml:space="preserve">Fill in the BLUE-TEXT cells only, for each of 2023, 2024 and 2025:  # Sales Transactions,  Avg. Sales Transaction Value,  Cost of Sales %.</t>
  </si>
  <si>
    <t xml:space="preserve">Everything else calculates:  Revenue = Transactions x Avg Value  ·  Cost of Sales = Revenue x COS%  ·  Gross Profit = Revenue - Cost of Sales.</t>
  </si>
  <si>
    <t xml:space="preserve">Light-blue cells are formulas — do not overwrite them. The summary block at the top rolls up from the TOTAL row automatically.</t>
  </si>
  <si>
    <t xml:space="preserve">IMPORTANT — Cost of Sales is not in Jackrabbit.</t>
  </si>
  <si>
    <t xml:space="preserve">Jackrabbit has no COGS concept. For a gym, cost of sales is essentially coach labour: coach hourly rate x class hours.</t>
  </si>
  <si>
    <t xml:space="preserve">Build it from payroll and the class schedule, then enter it here as a % of that service's revenue.</t>
  </si>
  <si>
    <t xml:space="preserve">Keep the basis consistent across all three years — either fees billed (Fee Summary Report) or payments collected (Paid Fees Report), not a mix.</t>
  </si>
  <si>
    <t xml:space="preserve">Note on transaction counts: tuition bills monthly, so one transaction = one monthly charge, not one customer. Expect Avg. Transaction Value on</t>
  </si>
  <si>
    <t xml:space="preserve">tuition rows to look like a month of tuition. Open Gym and Membership Fees are true one-off charges.</t>
  </si>
  <si>
    <t xml:space="preserve">See the 'Notes &amp; Sources' tab for which Jackrabbit report feeds each column.</t>
  </si>
  <si>
    <t xml:space="preserve">Where each column comes from</t>
  </si>
  <si>
    <t xml:space="preserve">Jackrabbit Class — report names verified against help.jackrabbitclass.com, July 2026</t>
  </si>
  <si>
    <t xml:space="preserve">Column in this workbook</t>
  </si>
  <si>
    <t xml:space="preserve">Jackrabbit report</t>
  </si>
  <si>
    <t xml:space="preserve">Notes</t>
  </si>
  <si>
    <t xml:space="preserve">Transaction Listing Report  ·  Transaction Summary Report</t>
  </si>
  <si>
    <t xml:space="preserve">Transaction Listing gives line-item rows you can count and pivot by year. Transaction Summary gives counts and totals by type.</t>
  </si>
  <si>
    <t xml:space="preserve">— calculated —</t>
  </si>
  <si>
    <t xml:space="preserve">Total Revenue divided by # Transactions. Not a report.</t>
  </si>
  <si>
    <t xml:space="preserve">Class/Event Revenue Summary  ·  Revenue Summary Report</t>
  </si>
  <si>
    <t xml:space="preserve">Class/Event Revenue attributes revenue per class. Revenue Summary groups by transaction type/sub-type. Run once per calendar year.</t>
  </si>
  <si>
    <t xml:space="preserve">NOT AVAILABLE IN JACKRABBIT</t>
  </si>
  <si>
    <t xml:space="preserve">Must be built from payroll: coach hourly rate x class hours. Jackrabbit tracks no cost of goods.</t>
  </si>
  <si>
    <t xml:space="preserve">Cost of Sales divided by Revenue.</t>
  </si>
  <si>
    <t xml:space="preserve">Revenue minus Cost of Sales.</t>
  </si>
  <si>
    <t xml:space="preserve">Price per class (for reference)</t>
  </si>
  <si>
    <t xml:space="preserve">Class Listing Report (Classes &gt; Reports)</t>
  </si>
  <si>
    <t xml:space="preserve">Tuition sits on the class record, not in any revenue report. Note it will show current price, not the 2023 or 2024 price.</t>
  </si>
  <si>
    <t xml:space="preserve">Enrolled students (denominator)</t>
  </si>
  <si>
    <t xml:space="preserve">Enrollment Snapshot  ·  Enrollment Detail Report</t>
  </si>
  <si>
    <t xml:space="preserve">Needed to compute revenue per enrolled student. Snapshot is point-in-time — pick the same month each year.</t>
  </si>
  <si>
    <t xml:space="preserve">Attrition by program</t>
  </si>
  <si>
    <t xml:space="preserve">Drop History Report</t>
  </si>
  <si>
    <t xml:space="preserve">Shows which service lines leak students, year over year.</t>
  </si>
  <si>
    <t xml:space="preserve">Collected vs. billed</t>
  </si>
  <si>
    <t xml:space="preserve">Paid Fees Report  vs.  Fee Summary Report</t>
  </si>
  <si>
    <t xml:space="preserve">Paid Fees = collected. Fee Summary = billed. Pick one basis and keep it constant across all three years.</t>
  </si>
  <si>
    <t xml:space="preserve">Uncollected revenue</t>
  </si>
  <si>
    <t xml:space="preserve">Aged Accounts Summary Report</t>
  </si>
  <si>
    <t xml:space="preserve">How much of billed revenue is still outstanding.</t>
  </si>
  <si>
    <t xml:space="preserve">Card mix</t>
  </si>
  <si>
    <t xml:space="preserve">Payment Method Summary Report</t>
  </si>
  <si>
    <t xml:space="preserve">Relevant given the site accepts Visa/Mastercard/Discover only — no Amex.</t>
  </si>
  <si>
    <t xml:space="preserve">SET THIS UP FIRST</t>
  </si>
  <si>
    <t xml:space="preserve">Gear icon &gt; Settings &gt; Drop-down Lists &gt; Class Category 1 — every class must be tagged to a service group,</t>
  </si>
  <si>
    <t xml:space="preserve">or revenue will not roll up to the nine rows on the Service Performance tab.</t>
  </si>
  <si>
    <t xml:space="preserve">Gear icon &gt; Settings &gt; Drop-down Lists &gt; Transaction Types / Sub-types — tuition, the $45 membership fee,</t>
  </si>
  <si>
    <t xml:space="preserve">Open Gym, and meet fees each need their own sub-type, or they cannot be separated.</t>
  </si>
  <si>
    <t xml:space="preserve">Watch for category changes across years. If classes were re-tagged between 2023 and 2025, the historical</t>
  </si>
  <si>
    <t xml:space="preserve">roll-ups will not be comparable. Check before trusting the trend.</t>
  </si>
  <si>
    <t xml:space="preserve">Caveat: report names confirmed from Jackrabbit's help index, but its help pages render client-side, so exact column lists per report were not readable. Verify available fields in-app.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</si>
</sst>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\$#,##0;&quot;($&quot;#,##0\);\-"/>
    <numFmt numFmtId="167" formatCode="0.0%;\(0.0%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C9D1E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FFD479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D479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FFD479"/>
      <name val="Arial"/>
      <family val="0"/>
      <charset val="1"/>
    </font>
    <font>
      <i val="true"/>
      <sz val="9"/>
      <color rgb="FFC9D1E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D6DEF5"/>
        <bgColor rgb="FFDCE3F2"/>
      </patternFill>
    </fill>
    <fill>
      <patternFill patternType="solid">
        <fgColor rgb="FFDCE3F2"/>
        <bgColor rgb="FFD6DEF5"/>
      </patternFill>
    </fill>
    <fill>
      <patternFill patternType="solid">
        <fgColor rgb="FFB9C4DC"/>
        <bgColor rgb="FFC9D1E0"/>
      </patternFill>
    </fill>
    <fill>
      <patternFill patternType="solid">
        <fgColor rgb="FF4A5468"/>
        <bgColor rgb="FF5A6478"/>
      </patternFill>
    </fill>
    <fill>
      <patternFill patternType="solid">
        <fgColor rgb="FF5A6478"/>
        <bgColor rgb="FF4A546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FFFFCC"/>
      <rgbColor rgb="FFDCE3F2"/>
      <rgbColor rgb="FF660066"/>
      <rgbColor rgb="FFFF8080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CCFFCC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5A6478"/>
      <rgbColor rgb="FF9AA3B2"/>
      <rgbColor rgb="FF003366"/>
      <rgbColor rgb="FF339966"/>
      <rgbColor rgb="FF003300"/>
      <rgbColor rgb="FF1F2937"/>
      <rgbColor rgb="FF993300"/>
      <rgbColor rgb="FF993366"/>
      <rgbColor rgb="FF4A5468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20" min="3" style="0" width="13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customFormat="false" ht="15" hidden="false" customHeight="false" outlineLevel="0" collapsed="false">
      <c r="A4" s="1"/>
      <c r="B4" s="1"/>
      <c r="C4" s="4" t="s">
        <v>2</v>
      </c>
      <c r="D4" s="4" t="s">
        <v>3</v>
      </c>
      <c r="E4" s="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customFormat="false" ht="15" hidden="false" customHeight="false" outlineLevel="0" collapsed="false">
      <c r="A5" s="1"/>
      <c r="B5" s="5" t="s">
        <v>5</v>
      </c>
      <c r="C5" s="6" t="n">
        <f aca="false">C24</f>
        <v>0</v>
      </c>
      <c r="D5" s="6" t="n">
        <f aca="false">D24</f>
        <v>0</v>
      </c>
      <c r="E5" s="6" t="n">
        <f aca="false">E24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customFormat="false" ht="15" hidden="false" customHeight="false" outlineLevel="0" collapsed="false">
      <c r="A6" s="1"/>
      <c r="B6" s="5" t="s">
        <v>6</v>
      </c>
      <c r="C6" s="7" t="n">
        <f aca="false">IFERROR(I24/C24,0)</f>
        <v>0</v>
      </c>
      <c r="D6" s="7" t="n">
        <f aca="false">IFERROR(J24/D24,0)</f>
        <v>0</v>
      </c>
      <c r="E6" s="7" t="n">
        <f aca="false">IFERROR(K24/E24,0)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customFormat="false" ht="15" hidden="false" customHeight="false" outlineLevel="0" collapsed="false">
      <c r="A7" s="1"/>
      <c r="B7" s="5" t="s">
        <v>7</v>
      </c>
      <c r="C7" s="7" t="n">
        <f aca="false">I24</f>
        <v>0</v>
      </c>
      <c r="D7" s="7" t="n">
        <f aca="false">J24</f>
        <v>0</v>
      </c>
      <c r="E7" s="7" t="n">
        <f aca="false">K24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customFormat="false" ht="15" hidden="false" customHeight="false" outlineLevel="0" collapsed="false">
      <c r="A9" s="1"/>
      <c r="B9" s="5" t="s">
        <v>8</v>
      </c>
      <c r="C9" s="8" t="n">
        <f aca="false">IFERROR(L24/I24,0)</f>
        <v>0</v>
      </c>
      <c r="D9" s="8" t="n">
        <f aca="false">IFERROR(M24/J24,0)</f>
        <v>0</v>
      </c>
      <c r="E9" s="8" t="n">
        <f aca="false">IFERROR(N24/K24,0)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customFormat="false" ht="15" hidden="false" customHeight="false" outlineLevel="0" collapsed="false">
      <c r="A11" s="1"/>
      <c r="B11" s="5" t="s">
        <v>9</v>
      </c>
      <c r="C11" s="7" t="n">
        <f aca="false">R24</f>
        <v>0</v>
      </c>
      <c r="D11" s="7" t="n">
        <f aca="false">S24</f>
        <v>0</v>
      </c>
      <c r="E11" s="7" t="n">
        <f aca="false">T24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customFormat="false" ht="15" hidden="false" customHeight="false" outlineLevel="0" collapsed="false">
      <c r="A12" s="1"/>
      <c r="B12" s="5" t="s">
        <v>10</v>
      </c>
      <c r="C12" s="8" t="n">
        <f aca="false">IFERROR(R24/I24,0)</f>
        <v>0</v>
      </c>
      <c r="D12" s="8" t="n">
        <f aca="false">IFERROR(S24/J24,0)</f>
        <v>0</v>
      </c>
      <c r="E12" s="8" t="n">
        <f aca="false">IFERROR(T24/K24,0)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customFormat="false" ht="15" hidden="false" customHeight="true" outlineLevel="0" collapsed="false">
      <c r="A13" s="1"/>
      <c r="B13" s="9" t="s">
        <v>11</v>
      </c>
      <c r="C13" s="9" t="s">
        <v>12</v>
      </c>
      <c r="D13" s="9"/>
      <c r="E13" s="9"/>
      <c r="F13" s="9" t="s">
        <v>13</v>
      </c>
      <c r="G13" s="9"/>
      <c r="H13" s="9"/>
      <c r="I13" s="9" t="s">
        <v>7</v>
      </c>
      <c r="J13" s="9"/>
      <c r="K13" s="9"/>
      <c r="L13" s="9" t="s">
        <v>14</v>
      </c>
      <c r="M13" s="9"/>
      <c r="N13" s="9"/>
      <c r="O13" s="9" t="s">
        <v>15</v>
      </c>
      <c r="P13" s="9"/>
      <c r="Q13" s="9"/>
      <c r="R13" s="9" t="s">
        <v>16</v>
      </c>
      <c r="S13" s="9"/>
      <c r="T13" s="9"/>
      <c r="U13" s="1"/>
      <c r="V13" s="1"/>
    </row>
    <row r="14" customFormat="false" ht="15" hidden="false" customHeight="false" outlineLevel="0" collapsed="false">
      <c r="A14" s="1"/>
      <c r="B14" s="9"/>
      <c r="C14" s="4" t="s">
        <v>2</v>
      </c>
      <c r="D14" s="4" t="s">
        <v>3</v>
      </c>
      <c r="E14" s="4" t="s">
        <v>4</v>
      </c>
      <c r="F14" s="4" t="s">
        <v>2</v>
      </c>
      <c r="G14" s="4" t="s">
        <v>3</v>
      </c>
      <c r="H14" s="4" t="s">
        <v>4</v>
      </c>
      <c r="I14" s="4" t="s">
        <v>2</v>
      </c>
      <c r="J14" s="4" t="s">
        <v>3</v>
      </c>
      <c r="K14" s="4" t="s">
        <v>4</v>
      </c>
      <c r="L14" s="4" t="s">
        <v>2</v>
      </c>
      <c r="M14" s="4" t="s">
        <v>3</v>
      </c>
      <c r="N14" s="4" t="s">
        <v>4</v>
      </c>
      <c r="O14" s="4" t="s">
        <v>2</v>
      </c>
      <c r="P14" s="4" t="s">
        <v>3</v>
      </c>
      <c r="Q14" s="4" t="s">
        <v>4</v>
      </c>
      <c r="R14" s="4" t="s">
        <v>2</v>
      </c>
      <c r="S14" s="4" t="s">
        <v>3</v>
      </c>
      <c r="T14" s="4" t="s">
        <v>4</v>
      </c>
      <c r="U14" s="1"/>
      <c r="V14" s="1"/>
    </row>
    <row r="15" customFormat="false" ht="15" hidden="false" customHeight="false" outlineLevel="0" collapsed="false">
      <c r="A15" s="1"/>
      <c r="B15" s="10" t="s">
        <v>17</v>
      </c>
      <c r="C15" s="11"/>
      <c r="D15" s="11"/>
      <c r="E15" s="11"/>
      <c r="F15" s="12"/>
      <c r="G15" s="12"/>
      <c r="H15" s="12"/>
      <c r="I15" s="13" t="n">
        <f aca="false">C15*F15</f>
        <v>0</v>
      </c>
      <c r="J15" s="13" t="n">
        <f aca="false">D15*G15</f>
        <v>0</v>
      </c>
      <c r="K15" s="13" t="n">
        <f aca="false">E15*H15</f>
        <v>0</v>
      </c>
      <c r="L15" s="13" t="n">
        <f aca="false">I15*O15</f>
        <v>0</v>
      </c>
      <c r="M15" s="13" t="n">
        <f aca="false">J15*P15</f>
        <v>0</v>
      </c>
      <c r="N15" s="13" t="n">
        <f aca="false">K15*Q15</f>
        <v>0</v>
      </c>
      <c r="O15" s="14"/>
      <c r="P15" s="14"/>
      <c r="Q15" s="14"/>
      <c r="R15" s="13" t="n">
        <f aca="false">I15-L15</f>
        <v>0</v>
      </c>
      <c r="S15" s="13" t="n">
        <f aca="false">J15-M15</f>
        <v>0</v>
      </c>
      <c r="T15" s="13" t="n">
        <f aca="false">K15-N15</f>
        <v>0</v>
      </c>
      <c r="U15" s="1"/>
      <c r="V15" s="1"/>
    </row>
    <row r="16" customFormat="false" ht="15" hidden="false" customHeight="false" outlineLevel="0" collapsed="false">
      <c r="A16" s="1"/>
      <c r="B16" s="10" t="s">
        <v>18</v>
      </c>
      <c r="C16" s="11"/>
      <c r="D16" s="11"/>
      <c r="E16" s="11"/>
      <c r="F16" s="12"/>
      <c r="G16" s="12"/>
      <c r="H16" s="12"/>
      <c r="I16" s="13" t="n">
        <f aca="false">C16*F16</f>
        <v>0</v>
      </c>
      <c r="J16" s="13" t="n">
        <f aca="false">D16*G16</f>
        <v>0</v>
      </c>
      <c r="K16" s="13" t="n">
        <f aca="false">E16*H16</f>
        <v>0</v>
      </c>
      <c r="L16" s="13" t="n">
        <f aca="false">I16*O16</f>
        <v>0</v>
      </c>
      <c r="M16" s="13" t="n">
        <f aca="false">J16*P16</f>
        <v>0</v>
      </c>
      <c r="N16" s="13" t="n">
        <f aca="false">K16*Q16</f>
        <v>0</v>
      </c>
      <c r="O16" s="14"/>
      <c r="P16" s="14"/>
      <c r="Q16" s="14"/>
      <c r="R16" s="13" t="n">
        <f aca="false">I16-L16</f>
        <v>0</v>
      </c>
      <c r="S16" s="13" t="n">
        <f aca="false">J16-M16</f>
        <v>0</v>
      </c>
      <c r="T16" s="13" t="n">
        <f aca="false">K16-N16</f>
        <v>0</v>
      </c>
      <c r="U16" s="1"/>
      <c r="V16" s="1"/>
    </row>
    <row r="17" customFormat="false" ht="15" hidden="false" customHeight="false" outlineLevel="0" collapsed="false">
      <c r="A17" s="1"/>
      <c r="B17" s="10" t="s">
        <v>19</v>
      </c>
      <c r="C17" s="11"/>
      <c r="D17" s="11"/>
      <c r="E17" s="11"/>
      <c r="F17" s="12"/>
      <c r="G17" s="12"/>
      <c r="H17" s="12"/>
      <c r="I17" s="13" t="n">
        <f aca="false">C17*F17</f>
        <v>0</v>
      </c>
      <c r="J17" s="13" t="n">
        <f aca="false">D17*G17</f>
        <v>0</v>
      </c>
      <c r="K17" s="13" t="n">
        <f aca="false">E17*H17</f>
        <v>0</v>
      </c>
      <c r="L17" s="13" t="n">
        <f aca="false">I17*O17</f>
        <v>0</v>
      </c>
      <c r="M17" s="13" t="n">
        <f aca="false">J17*P17</f>
        <v>0</v>
      </c>
      <c r="N17" s="13" t="n">
        <f aca="false">K17*Q17</f>
        <v>0</v>
      </c>
      <c r="O17" s="14"/>
      <c r="P17" s="14"/>
      <c r="Q17" s="14"/>
      <c r="R17" s="13" t="n">
        <f aca="false">I17-L17</f>
        <v>0</v>
      </c>
      <c r="S17" s="13" t="n">
        <f aca="false">J17-M17</f>
        <v>0</v>
      </c>
      <c r="T17" s="13" t="n">
        <f aca="false">K17-N17</f>
        <v>0</v>
      </c>
      <c r="U17" s="1"/>
      <c r="V17" s="1"/>
    </row>
    <row r="18" customFormat="false" ht="15" hidden="false" customHeight="false" outlineLevel="0" collapsed="false">
      <c r="A18" s="1"/>
      <c r="B18" s="10" t="s">
        <v>20</v>
      </c>
      <c r="C18" s="11"/>
      <c r="D18" s="11"/>
      <c r="E18" s="11"/>
      <c r="F18" s="12"/>
      <c r="G18" s="12"/>
      <c r="H18" s="12"/>
      <c r="I18" s="13" t="n">
        <f aca="false">C18*F18</f>
        <v>0</v>
      </c>
      <c r="J18" s="13" t="n">
        <f aca="false">D18*G18</f>
        <v>0</v>
      </c>
      <c r="K18" s="13" t="n">
        <f aca="false">E18*H18</f>
        <v>0</v>
      </c>
      <c r="L18" s="13" t="n">
        <f aca="false">I18*O18</f>
        <v>0</v>
      </c>
      <c r="M18" s="13" t="n">
        <f aca="false">J18*P18</f>
        <v>0</v>
      </c>
      <c r="N18" s="13" t="n">
        <f aca="false">K18*Q18</f>
        <v>0</v>
      </c>
      <c r="O18" s="14"/>
      <c r="P18" s="14"/>
      <c r="Q18" s="14"/>
      <c r="R18" s="13" t="n">
        <f aca="false">I18-L18</f>
        <v>0</v>
      </c>
      <c r="S18" s="13" t="n">
        <f aca="false">J18-M18</f>
        <v>0</v>
      </c>
      <c r="T18" s="13" t="n">
        <f aca="false">K18-N18</f>
        <v>0</v>
      </c>
      <c r="U18" s="1"/>
      <c r="V18" s="1"/>
    </row>
    <row r="19" customFormat="false" ht="15" hidden="false" customHeight="false" outlineLevel="0" collapsed="false">
      <c r="A19" s="1"/>
      <c r="B19" s="10" t="s">
        <v>21</v>
      </c>
      <c r="C19" s="11"/>
      <c r="D19" s="11"/>
      <c r="E19" s="11"/>
      <c r="F19" s="12"/>
      <c r="G19" s="12"/>
      <c r="H19" s="12"/>
      <c r="I19" s="13" t="n">
        <f aca="false">C19*F19</f>
        <v>0</v>
      </c>
      <c r="J19" s="13" t="n">
        <f aca="false">D19*G19</f>
        <v>0</v>
      </c>
      <c r="K19" s="13" t="n">
        <f aca="false">E19*H19</f>
        <v>0</v>
      </c>
      <c r="L19" s="13" t="n">
        <f aca="false">I19*O19</f>
        <v>0</v>
      </c>
      <c r="M19" s="13" t="n">
        <f aca="false">J19*P19</f>
        <v>0</v>
      </c>
      <c r="N19" s="13" t="n">
        <f aca="false">K19*Q19</f>
        <v>0</v>
      </c>
      <c r="O19" s="14"/>
      <c r="P19" s="14"/>
      <c r="Q19" s="14"/>
      <c r="R19" s="13" t="n">
        <f aca="false">I19-L19</f>
        <v>0</v>
      </c>
      <c r="S19" s="13" t="n">
        <f aca="false">J19-M19</f>
        <v>0</v>
      </c>
      <c r="T19" s="13" t="n">
        <f aca="false">K19-N19</f>
        <v>0</v>
      </c>
      <c r="U19" s="1"/>
      <c r="V19" s="1"/>
    </row>
    <row r="20" customFormat="false" ht="15" hidden="false" customHeight="false" outlineLevel="0" collapsed="false">
      <c r="A20" s="1"/>
      <c r="B20" s="10" t="s">
        <v>22</v>
      </c>
      <c r="C20" s="11"/>
      <c r="D20" s="11"/>
      <c r="E20" s="11"/>
      <c r="F20" s="12"/>
      <c r="G20" s="12"/>
      <c r="H20" s="12"/>
      <c r="I20" s="13" t="n">
        <f aca="false">C20*F20</f>
        <v>0</v>
      </c>
      <c r="J20" s="13" t="n">
        <f aca="false">D20*G20</f>
        <v>0</v>
      </c>
      <c r="K20" s="13" t="n">
        <f aca="false">E20*H20</f>
        <v>0</v>
      </c>
      <c r="L20" s="13" t="n">
        <f aca="false">I20*O20</f>
        <v>0</v>
      </c>
      <c r="M20" s="13" t="n">
        <f aca="false">J20*P20</f>
        <v>0</v>
      </c>
      <c r="N20" s="13" t="n">
        <f aca="false">K20*Q20</f>
        <v>0</v>
      </c>
      <c r="O20" s="14"/>
      <c r="P20" s="14"/>
      <c r="Q20" s="14"/>
      <c r="R20" s="13" t="n">
        <f aca="false">I20-L20</f>
        <v>0</v>
      </c>
      <c r="S20" s="13" t="n">
        <f aca="false">J20-M20</f>
        <v>0</v>
      </c>
      <c r="T20" s="13" t="n">
        <f aca="false">K20-N20</f>
        <v>0</v>
      </c>
      <c r="U20" s="1"/>
      <c r="V20" s="1"/>
    </row>
    <row r="21" customFormat="false" ht="15" hidden="false" customHeight="false" outlineLevel="0" collapsed="false">
      <c r="A21" s="1"/>
      <c r="B21" s="10" t="s">
        <v>23</v>
      </c>
      <c r="C21" s="11"/>
      <c r="D21" s="11"/>
      <c r="E21" s="11"/>
      <c r="F21" s="12"/>
      <c r="G21" s="12"/>
      <c r="H21" s="12"/>
      <c r="I21" s="13" t="n">
        <f aca="false">C21*F21</f>
        <v>0</v>
      </c>
      <c r="J21" s="13" t="n">
        <f aca="false">D21*G21</f>
        <v>0</v>
      </c>
      <c r="K21" s="13" t="n">
        <f aca="false">E21*H21</f>
        <v>0</v>
      </c>
      <c r="L21" s="13" t="n">
        <f aca="false">I21*O21</f>
        <v>0</v>
      </c>
      <c r="M21" s="13" t="n">
        <f aca="false">J21*P21</f>
        <v>0</v>
      </c>
      <c r="N21" s="13" t="n">
        <f aca="false">K21*Q21</f>
        <v>0</v>
      </c>
      <c r="O21" s="14"/>
      <c r="P21" s="14"/>
      <c r="Q21" s="14"/>
      <c r="R21" s="13" t="n">
        <f aca="false">I21-L21</f>
        <v>0</v>
      </c>
      <c r="S21" s="13" t="n">
        <f aca="false">J21-M21</f>
        <v>0</v>
      </c>
      <c r="T21" s="13" t="n">
        <f aca="false">K21-N21</f>
        <v>0</v>
      </c>
      <c r="U21" s="1"/>
      <c r="V21" s="1"/>
    </row>
    <row r="22" customFormat="false" ht="15" hidden="false" customHeight="false" outlineLevel="0" collapsed="false">
      <c r="A22" s="1"/>
      <c r="B22" s="10" t="s">
        <v>24</v>
      </c>
      <c r="C22" s="11"/>
      <c r="D22" s="11"/>
      <c r="E22" s="11"/>
      <c r="F22" s="12"/>
      <c r="G22" s="12"/>
      <c r="H22" s="12"/>
      <c r="I22" s="13" t="n">
        <f aca="false">C22*F22</f>
        <v>0</v>
      </c>
      <c r="J22" s="13" t="n">
        <f aca="false">D22*G22</f>
        <v>0</v>
      </c>
      <c r="K22" s="13" t="n">
        <f aca="false">E22*H22</f>
        <v>0</v>
      </c>
      <c r="L22" s="13" t="n">
        <f aca="false">I22*O22</f>
        <v>0</v>
      </c>
      <c r="M22" s="13" t="n">
        <f aca="false">J22*P22</f>
        <v>0</v>
      </c>
      <c r="N22" s="13" t="n">
        <f aca="false">K22*Q22</f>
        <v>0</v>
      </c>
      <c r="O22" s="14"/>
      <c r="P22" s="14"/>
      <c r="Q22" s="14"/>
      <c r="R22" s="13" t="n">
        <f aca="false">I22-L22</f>
        <v>0</v>
      </c>
      <c r="S22" s="13" t="n">
        <f aca="false">J22-M22</f>
        <v>0</v>
      </c>
      <c r="T22" s="13" t="n">
        <f aca="false">K22-N22</f>
        <v>0</v>
      </c>
      <c r="U22" s="1"/>
      <c r="V22" s="1"/>
    </row>
    <row r="23" customFormat="false" ht="15" hidden="false" customHeight="false" outlineLevel="0" collapsed="false">
      <c r="A23" s="1"/>
      <c r="B23" s="10" t="s">
        <v>25</v>
      </c>
      <c r="C23" s="11"/>
      <c r="D23" s="11"/>
      <c r="E23" s="11"/>
      <c r="F23" s="12"/>
      <c r="G23" s="12"/>
      <c r="H23" s="12"/>
      <c r="I23" s="13" t="n">
        <f aca="false">C23*F23</f>
        <v>0</v>
      </c>
      <c r="J23" s="13" t="n">
        <f aca="false">D23*G23</f>
        <v>0</v>
      </c>
      <c r="K23" s="13" t="n">
        <f aca="false">E23*H23</f>
        <v>0</v>
      </c>
      <c r="L23" s="13" t="n">
        <f aca="false">I23*O23</f>
        <v>0</v>
      </c>
      <c r="M23" s="13" t="n">
        <f aca="false">J23*P23</f>
        <v>0</v>
      </c>
      <c r="N23" s="13" t="n">
        <f aca="false">K23*Q23</f>
        <v>0</v>
      </c>
      <c r="O23" s="14"/>
      <c r="P23" s="14"/>
      <c r="Q23" s="14"/>
      <c r="R23" s="13" t="n">
        <f aca="false">I23-L23</f>
        <v>0</v>
      </c>
      <c r="S23" s="13" t="n">
        <f aca="false">J23-M23</f>
        <v>0</v>
      </c>
      <c r="T23" s="13" t="n">
        <f aca="false">K23-N23</f>
        <v>0</v>
      </c>
      <c r="U23" s="1"/>
      <c r="V23" s="1"/>
    </row>
    <row r="24" customFormat="false" ht="15" hidden="false" customHeight="false" outlineLevel="0" collapsed="false">
      <c r="A24" s="1"/>
      <c r="B24" s="15" t="s">
        <v>26</v>
      </c>
      <c r="C24" s="16" t="n">
        <f aca="false">SUM(C15:C23)</f>
        <v>0</v>
      </c>
      <c r="D24" s="16" t="n">
        <f aca="false">SUM(D15:D23)</f>
        <v>0</v>
      </c>
      <c r="E24" s="16" t="n">
        <f aca="false">SUM(E15:E23)</f>
        <v>0</v>
      </c>
      <c r="F24" s="17" t="n">
        <f aca="false">IFERROR(I24/C24,0)</f>
        <v>0</v>
      </c>
      <c r="G24" s="17" t="n">
        <f aca="false">IFERROR(J24/D24,0)</f>
        <v>0</v>
      </c>
      <c r="H24" s="17" t="n">
        <f aca="false">IFERROR(K24/E24,0)</f>
        <v>0</v>
      </c>
      <c r="I24" s="17" t="n">
        <f aca="false">SUM(I15:I23)</f>
        <v>0</v>
      </c>
      <c r="J24" s="17" t="n">
        <f aca="false">SUM(J15:J23)</f>
        <v>0</v>
      </c>
      <c r="K24" s="17" t="n">
        <f aca="false">SUM(K15:K23)</f>
        <v>0</v>
      </c>
      <c r="L24" s="17" t="n">
        <f aca="false">SUM(L15:L23)</f>
        <v>0</v>
      </c>
      <c r="M24" s="17" t="n">
        <f aca="false">SUM(M15:M23)</f>
        <v>0</v>
      </c>
      <c r="N24" s="17" t="n">
        <f aca="false">SUM(N15:N23)</f>
        <v>0</v>
      </c>
      <c r="O24" s="18" t="n">
        <f aca="false">IFERROR(L24/I24,0)</f>
        <v>0</v>
      </c>
      <c r="P24" s="18" t="n">
        <f aca="false">IFERROR(M24/J24,0)</f>
        <v>0</v>
      </c>
      <c r="Q24" s="18" t="n">
        <f aca="false">IFERROR(N24/K24,0)</f>
        <v>0</v>
      </c>
      <c r="R24" s="17" t="n">
        <f aca="false">SUM(R15:R23)</f>
        <v>0</v>
      </c>
      <c r="S24" s="17" t="n">
        <f aca="false">SUM(S15:S23)</f>
        <v>0</v>
      </c>
      <c r="T24" s="17" t="n">
        <f aca="false">SUM(T15:T23)</f>
        <v>0</v>
      </c>
      <c r="U24" s="1"/>
      <c r="V24" s="1"/>
    </row>
    <row r="25" customFormat="false" ht="15" hidden="false" customHeight="false" outlineLevel="0" collapsed="false">
      <c r="A25" s="1"/>
      <c r="B25" s="19" t="s">
        <v>27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1"/>
      <c r="B26" s="20" t="s">
        <v>28</v>
      </c>
      <c r="C26" s="21" t="n">
        <v>1380</v>
      </c>
      <c r="D26" s="21" t="n">
        <v>1450</v>
      </c>
      <c r="E26" s="21" t="n">
        <v>1595</v>
      </c>
      <c r="F26" s="22" t="n">
        <v>86</v>
      </c>
      <c r="G26" s="22" t="n">
        <v>92</v>
      </c>
      <c r="H26" s="22" t="n">
        <v>96</v>
      </c>
      <c r="I26" s="22" t="n">
        <f aca="false">C26*F26</f>
        <v>118680</v>
      </c>
      <c r="J26" s="22" t="n">
        <f aca="false">D26*G26</f>
        <v>133400</v>
      </c>
      <c r="K26" s="22" t="n">
        <f aca="false">E26*H26</f>
        <v>153120</v>
      </c>
      <c r="L26" s="22" t="n">
        <f aca="false">I26*O26</f>
        <v>52219.2</v>
      </c>
      <c r="M26" s="22" t="n">
        <f aca="false">J26*P26</f>
        <v>56028</v>
      </c>
      <c r="N26" s="22" t="n">
        <f aca="false">K26*Q26</f>
        <v>61248</v>
      </c>
      <c r="O26" s="23" t="n">
        <v>0.44</v>
      </c>
      <c r="P26" s="23" t="n">
        <v>0.42</v>
      </c>
      <c r="Q26" s="23" t="n">
        <v>0.4</v>
      </c>
      <c r="R26" s="22" t="n">
        <f aca="false">I26-L26</f>
        <v>66460.8</v>
      </c>
      <c r="S26" s="22" t="n">
        <f aca="false">J26-M26</f>
        <v>77372</v>
      </c>
      <c r="T26" s="22" t="n">
        <f aca="false">K26-N26</f>
        <v>91872</v>
      </c>
      <c r="U26" s="1"/>
      <c r="V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1"/>
      <c r="B29" s="24" t="s">
        <v>29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1"/>
      <c r="B30" s="1" t="s">
        <v>30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customFormat="false" ht="15" hidden="false" customHeight="false" outlineLevel="0" collapsed="false">
      <c r="A31" s="1"/>
      <c r="B31" s="1" t="s">
        <v>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5" hidden="false" customHeight="false" outlineLevel="0" collapsed="false">
      <c r="A32" s="1"/>
      <c r="B32" s="1" t="s">
        <v>32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customFormat="false" ht="15" hidden="false" customHeight="false" outlineLevel="0" collapsed="false">
      <c r="A34" s="1"/>
      <c r="B34" s="25" t="s">
        <v>33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customFormat="false" ht="15" hidden="false" customHeight="false" outlineLevel="0" collapsed="false">
      <c r="A35" s="1"/>
      <c r="B35" s="1" t="s">
        <v>34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customFormat="false" ht="15" hidden="false" customHeight="false" outlineLevel="0" collapsed="false">
      <c r="A36" s="1"/>
      <c r="B36" s="1" t="s">
        <v>35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customFormat="false" ht="15" hidden="false" customHeight="false" outlineLevel="0" collapsed="false">
      <c r="A38" s="1"/>
      <c r="B38" s="1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customFormat="false" ht="15" hidden="false" customHeight="false" outlineLevel="0" collapsed="false">
      <c r="A39" s="1"/>
      <c r="B39" s="1" t="s">
        <v>37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customFormat="false" ht="15" hidden="false" customHeight="false" outlineLevel="0" collapsed="false">
      <c r="A40" s="1"/>
      <c r="B40" s="1" t="s">
        <v>38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customFormat="false" ht="15" hidden="false" customHeight="false" outlineLevel="0" collapsed="false">
      <c r="A42" s="1"/>
      <c r="B42" s="26" t="s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</sheetData>
  <mergeCells count="7">
    <mergeCell ref="B13:B14"/>
    <mergeCell ref="C13:E13"/>
    <mergeCell ref="F13:H13"/>
    <mergeCell ref="I13:K13"/>
    <mergeCell ref="L13:N13"/>
    <mergeCell ref="O13:Q13"/>
    <mergeCell ref="R13:T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46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/>
      <c r="B1" s="27" t="s">
        <v>40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26" t="s">
        <v>41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15" t="s">
        <v>42</v>
      </c>
      <c r="C4" s="15" t="s">
        <v>43</v>
      </c>
      <c r="D4" s="15" t="s">
        <v>44</v>
      </c>
      <c r="E4" s="1"/>
      <c r="F4" s="1"/>
      <c r="G4" s="1"/>
    </row>
    <row r="5" customFormat="false" ht="30" hidden="false" customHeight="true" outlineLevel="0" collapsed="false">
      <c r="A5" s="1"/>
      <c r="B5" s="28" t="s">
        <v>12</v>
      </c>
      <c r="C5" s="29" t="s">
        <v>45</v>
      </c>
      <c r="D5" s="29" t="s">
        <v>46</v>
      </c>
      <c r="E5" s="1"/>
      <c r="F5" s="1"/>
      <c r="G5" s="1"/>
    </row>
    <row r="6" customFormat="false" ht="30" hidden="false" customHeight="true" outlineLevel="0" collapsed="false">
      <c r="A6" s="1"/>
      <c r="B6" s="28" t="s">
        <v>13</v>
      </c>
      <c r="C6" s="29" t="s">
        <v>47</v>
      </c>
      <c r="D6" s="29" t="s">
        <v>48</v>
      </c>
      <c r="E6" s="1"/>
      <c r="F6" s="1"/>
      <c r="G6" s="1"/>
    </row>
    <row r="7" customFormat="false" ht="30" hidden="false" customHeight="true" outlineLevel="0" collapsed="false">
      <c r="A7" s="1"/>
      <c r="B7" s="28" t="s">
        <v>7</v>
      </c>
      <c r="C7" s="29" t="s">
        <v>49</v>
      </c>
      <c r="D7" s="29" t="s">
        <v>50</v>
      </c>
      <c r="E7" s="1"/>
      <c r="F7" s="1"/>
      <c r="G7" s="1"/>
    </row>
    <row r="8" customFormat="false" ht="30" hidden="false" customHeight="true" outlineLevel="0" collapsed="false">
      <c r="A8" s="1"/>
      <c r="B8" s="28" t="s">
        <v>14</v>
      </c>
      <c r="C8" s="29" t="s">
        <v>51</v>
      </c>
      <c r="D8" s="29" t="s">
        <v>52</v>
      </c>
      <c r="E8" s="1"/>
      <c r="F8" s="1"/>
      <c r="G8" s="1"/>
    </row>
    <row r="9" customFormat="false" ht="30" hidden="false" customHeight="true" outlineLevel="0" collapsed="false">
      <c r="A9" s="1"/>
      <c r="B9" s="28" t="s">
        <v>15</v>
      </c>
      <c r="C9" s="29" t="s">
        <v>47</v>
      </c>
      <c r="D9" s="29" t="s">
        <v>53</v>
      </c>
      <c r="E9" s="1"/>
      <c r="F9" s="1"/>
      <c r="G9" s="1"/>
    </row>
    <row r="10" customFormat="false" ht="30" hidden="false" customHeight="true" outlineLevel="0" collapsed="false">
      <c r="A10" s="1"/>
      <c r="B10" s="28" t="s">
        <v>16</v>
      </c>
      <c r="C10" s="29" t="s">
        <v>47</v>
      </c>
      <c r="D10" s="29" t="s">
        <v>54</v>
      </c>
      <c r="E10" s="1"/>
      <c r="F10" s="1"/>
      <c r="G10" s="1"/>
    </row>
    <row r="11" customFormat="false" ht="30" hidden="false" customHeight="true" outlineLevel="0" collapsed="false">
      <c r="A11" s="1"/>
      <c r="B11" s="28" t="s">
        <v>55</v>
      </c>
      <c r="C11" s="29" t="s">
        <v>56</v>
      </c>
      <c r="D11" s="29" t="s">
        <v>57</v>
      </c>
      <c r="E11" s="1"/>
      <c r="F11" s="1"/>
      <c r="G11" s="1"/>
    </row>
    <row r="12" customFormat="false" ht="30" hidden="false" customHeight="true" outlineLevel="0" collapsed="false">
      <c r="A12" s="1"/>
      <c r="B12" s="28" t="s">
        <v>58</v>
      </c>
      <c r="C12" s="29" t="s">
        <v>59</v>
      </c>
      <c r="D12" s="29" t="s">
        <v>60</v>
      </c>
      <c r="E12" s="1"/>
      <c r="F12" s="1"/>
      <c r="G12" s="1"/>
    </row>
    <row r="13" customFormat="false" ht="30" hidden="false" customHeight="true" outlineLevel="0" collapsed="false">
      <c r="A13" s="1"/>
      <c r="B13" s="28" t="s">
        <v>61</v>
      </c>
      <c r="C13" s="29" t="s">
        <v>62</v>
      </c>
      <c r="D13" s="29" t="s">
        <v>63</v>
      </c>
      <c r="E13" s="1"/>
      <c r="F13" s="1"/>
      <c r="G13" s="1"/>
    </row>
    <row r="14" customFormat="false" ht="30" hidden="false" customHeight="true" outlineLevel="0" collapsed="false">
      <c r="A14" s="1"/>
      <c r="B14" s="28" t="s">
        <v>64</v>
      </c>
      <c r="C14" s="29" t="s">
        <v>65</v>
      </c>
      <c r="D14" s="29" t="s">
        <v>66</v>
      </c>
      <c r="E14" s="1"/>
      <c r="F14" s="1"/>
      <c r="G14" s="1"/>
    </row>
    <row r="15" customFormat="false" ht="30" hidden="false" customHeight="true" outlineLevel="0" collapsed="false">
      <c r="A15" s="1"/>
      <c r="B15" s="28" t="s">
        <v>67</v>
      </c>
      <c r="C15" s="29" t="s">
        <v>68</v>
      </c>
      <c r="D15" s="29" t="s">
        <v>69</v>
      </c>
      <c r="E15" s="1"/>
      <c r="F15" s="1"/>
      <c r="G15" s="1"/>
    </row>
    <row r="16" customFormat="false" ht="30" hidden="false" customHeight="true" outlineLevel="0" collapsed="false">
      <c r="A16" s="1"/>
      <c r="B16" s="28" t="s">
        <v>70</v>
      </c>
      <c r="C16" s="29" t="s">
        <v>71</v>
      </c>
      <c r="D16" s="29" t="s">
        <v>72</v>
      </c>
      <c r="E16" s="1"/>
      <c r="F16" s="1"/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30" t="s">
        <v>73</v>
      </c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 t="s">
        <v>74</v>
      </c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 t="s">
        <v>75</v>
      </c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 t="s">
        <v>76</v>
      </c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 t="s">
        <v>77</v>
      </c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 t="s">
        <v>78</v>
      </c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 t="s">
        <v>79</v>
      </c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31" t="s">
        <v>80</v>
      </c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2026-07-28T13:25:50Z</dcterms:created>
  <dc:creator>openpyxl</dc:creator>
  <dc:description/>
  <dc:language>en-US</dc:language>
  <cp:lastModifiedBy/>
  <dcterms:modified xsi:type="dcterms:W3CDTF">2026-07-28T13:25:50Z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