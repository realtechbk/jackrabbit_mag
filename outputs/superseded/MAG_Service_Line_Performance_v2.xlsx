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c5f25a57fcf03a4/Desktop/working/RealTech/Clients/Maine Academy of Gymnastic/Output/"/>
    </mc:Choice>
  </mc:AlternateContent>
  <xr:revisionPtr revIDLastSave="8" documentId="11_06F0B57F47B0569492E8F9539DBCCE73C6CB2640" xr6:coauthVersionLast="47" xr6:coauthVersionMax="47" xr10:uidLastSave="{5A62D8B2-41F2-424B-879F-9A8E3F5B1CD8}"/>
  <bookViews>
    <workbookView xWindow="-120" yWindow="-120" windowWidth="29040" windowHeight="15720" tabRatio="500" xr2:uid="{00000000-000D-0000-FFFF-FFFF00000000}"/>
  </bookViews>
  <sheets>
    <sheet name="Service Performance" sheetId="1" r:id="rId1"/>
    <sheet name="Service 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5" i="1" l="1"/>
  <c r="K25" i="1"/>
  <c r="T25" i="1" s="1"/>
  <c r="J25" i="1"/>
  <c r="I25" i="1"/>
  <c r="E23" i="1"/>
  <c r="E5" i="1" s="1"/>
  <c r="D23" i="1"/>
  <c r="D5" i="1" s="1"/>
  <c r="C23" i="1"/>
  <c r="C5" i="1" s="1"/>
  <c r="T22" i="1"/>
  <c r="S22" i="1"/>
  <c r="N22" i="1"/>
  <c r="M22" i="1"/>
  <c r="K22" i="1"/>
  <c r="J22" i="1"/>
  <c r="I22" i="1"/>
  <c r="L22" i="1" s="1"/>
  <c r="R22" i="1" s="1"/>
  <c r="K21" i="1"/>
  <c r="J21" i="1"/>
  <c r="M21" i="1" s="1"/>
  <c r="I21" i="1"/>
  <c r="L21" i="1" s="1"/>
  <c r="S20" i="1"/>
  <c r="R20" i="1"/>
  <c r="M20" i="1"/>
  <c r="L20" i="1"/>
  <c r="K20" i="1"/>
  <c r="N20" i="1" s="1"/>
  <c r="T20" i="1" s="1"/>
  <c r="J20" i="1"/>
  <c r="I20" i="1"/>
  <c r="L19" i="1"/>
  <c r="R19" i="1" s="1"/>
  <c r="K19" i="1"/>
  <c r="N19" i="1" s="1"/>
  <c r="J19" i="1"/>
  <c r="I19" i="1"/>
  <c r="T18" i="1"/>
  <c r="N18" i="1"/>
  <c r="M18" i="1"/>
  <c r="K18" i="1"/>
  <c r="J18" i="1"/>
  <c r="S18" i="1" s="1"/>
  <c r="I18" i="1"/>
  <c r="N17" i="1"/>
  <c r="T17" i="1" s="1"/>
  <c r="M17" i="1"/>
  <c r="S17" i="1" s="1"/>
  <c r="L17" i="1"/>
  <c r="R17" i="1" s="1"/>
  <c r="K17" i="1"/>
  <c r="J17" i="1"/>
  <c r="I17" i="1"/>
  <c r="K16" i="1"/>
  <c r="J16" i="1"/>
  <c r="I16" i="1"/>
  <c r="R15" i="1"/>
  <c r="N15" i="1"/>
  <c r="T15" i="1" s="1"/>
  <c r="L15" i="1"/>
  <c r="K15" i="1"/>
  <c r="J15" i="1"/>
  <c r="J23" i="1" s="1"/>
  <c r="I15" i="1"/>
  <c r="I23" i="1" s="1"/>
  <c r="D6" i="1" l="1"/>
  <c r="D7" i="1"/>
  <c r="G23" i="1"/>
  <c r="T21" i="1"/>
  <c r="R16" i="1"/>
  <c r="R23" i="1" s="1"/>
  <c r="C6" i="1"/>
  <c r="F23" i="1"/>
  <c r="C7" i="1"/>
  <c r="M15" i="1"/>
  <c r="M19" i="1"/>
  <c r="S19" i="1" s="1"/>
  <c r="N21" i="1"/>
  <c r="L16" i="1"/>
  <c r="L23" i="1" s="1"/>
  <c r="T19" i="1"/>
  <c r="R21" i="1"/>
  <c r="M16" i="1"/>
  <c r="S16" i="1" s="1"/>
  <c r="S21" i="1"/>
  <c r="L25" i="1"/>
  <c r="R25" i="1" s="1"/>
  <c r="N16" i="1"/>
  <c r="N23" i="1" s="1"/>
  <c r="L18" i="1"/>
  <c r="R18" i="1" s="1"/>
  <c r="M25" i="1"/>
  <c r="S25" i="1" s="1"/>
  <c r="K23" i="1"/>
  <c r="C9" i="1" l="1"/>
  <c r="O23" i="1"/>
  <c r="C12" i="1"/>
  <c r="C11" i="1"/>
  <c r="E9" i="1"/>
  <c r="Q23" i="1"/>
  <c r="T16" i="1"/>
  <c r="T23" i="1" s="1"/>
  <c r="M23" i="1"/>
  <c r="E7" i="1"/>
  <c r="H23" i="1"/>
  <c r="E6" i="1"/>
  <c r="S15" i="1"/>
  <c r="S23" i="1" s="1"/>
  <c r="D12" i="1" l="1"/>
  <c r="D11" i="1"/>
  <c r="P23" i="1"/>
  <c r="D9" i="1"/>
  <c r="E12" i="1"/>
  <c r="E11" i="1"/>
</calcChain>
</file>

<file path=xl/sharedStrings.xml><?xml version="1.0" encoding="utf-8"?>
<sst xmlns="http://schemas.openxmlformats.org/spreadsheetml/2006/main" count="112" uniqueCount="82">
  <si>
    <t>Maine Academy of Gymnastics</t>
  </si>
  <si>
    <t>Service Line Performance — 2023 / 2024 / 2025</t>
  </si>
  <si>
    <t>2023</t>
  </si>
  <si>
    <t>2024</t>
  </si>
  <si>
    <t>2025</t>
  </si>
  <si>
    <t>Sales Transactions</t>
  </si>
  <si>
    <t>Average Sales Transaction Value</t>
  </si>
  <si>
    <t>Total Revenue</t>
  </si>
  <si>
    <t>Cost of Sales (as a % of Revenue)</t>
  </si>
  <si>
    <t>Gross Profit</t>
  </si>
  <si>
    <t>Gross Profit (as a % of Revenue)</t>
  </si>
  <si>
    <t>Product/Service</t>
  </si>
  <si>
    <t># Sales Transactions</t>
  </si>
  <si>
    <t>Avg. Sales Transaction Value</t>
  </si>
  <si>
    <t>Total Cost of Sales</t>
  </si>
  <si>
    <t>Cost of Sales %</t>
  </si>
  <si>
    <t>Total Gross Profit</t>
  </si>
  <si>
    <t>Recreational Tuition -- Preschool (The Jungle)</t>
  </si>
  <si>
    <t>Recreational Tuition -- Girls Wings</t>
  </si>
  <si>
    <t>Recreational Tuition -- Boys Wings</t>
  </si>
  <si>
    <t>Recreational Tuition -- Tumbling</t>
  </si>
  <si>
    <t>Seasonal -- Summer Intensives</t>
  </si>
  <si>
    <t>Competitive -- American Flyers Teams</t>
  </si>
  <si>
    <t>Ancillary -- Open Gym</t>
  </si>
  <si>
    <t>Ancillary -- Annual Membership Fees</t>
  </si>
  <si>
    <t>TOTAL — All Services</t>
  </si>
  <si>
    <t>EXAMPLE — shows expected format. Delete this row before use.</t>
  </si>
  <si>
    <t>(example) Recreational Tuition -- Girls Wings</t>
  </si>
  <si>
    <t>HOW TO USE THIS SHEET</t>
  </si>
  <si>
    <t>Fill the BLUE-TEXT cells only, for each year:  # Sales Transactions,  Avg. Sales Transaction Value,  Cost of Sales %.</t>
  </si>
  <si>
    <t>Everything else calculates:  Revenue = Transactions x Avg Value  ·  Cost of Sales = Revenue x COS%  ·  Gross Profit = Revenue - Cost of Sales.</t>
  </si>
  <si>
    <t>See the 'Service Definitions' tab for exactly what belongs on each row and where to pull it from.</t>
  </si>
  <si>
    <t>Cost of Sales is not in Jackrabbit.</t>
  </si>
  <si>
    <t>For a gym it is essentially coach labour: coach hourly rate x class hours. Build it from payroll, then enter as a % of that row's revenue.</t>
  </si>
  <si>
    <t>Two rows bill on a different basis — do not compare their Avg. Transaction Value to the monthly rows:</t>
  </si>
  <si>
    <t xml:space="preserve">     Seasonal -- Summer Intensives = flat 6-week fee.      Ancillary -- Annual Membership Fees = one $45 charge per student per year.</t>
  </si>
  <si>
    <t>Keep the basis consistent across all three years — either fees billed (Fee Summary Report) or payments collected (Paid Fees Report), never a mix.</t>
  </si>
  <si>
    <t>Service Definitions</t>
  </si>
  <si>
    <t>What belongs on each row of the Service Performance tab, and where it comes from in Jackrabbit</t>
  </si>
  <si>
    <t>Current-state figures are from the Jackrabbit Class List export of 28 July 2026 (176 classes, session 2026-27).</t>
  </si>
  <si>
    <t>Service Row</t>
  </si>
  <si>
    <t>What it includes</t>
  </si>
  <si>
    <t>Jackrabbit mapping</t>
  </si>
  <si>
    <t>Billing basis</t>
  </si>
  <si>
    <t>Current state &amp; notes</t>
  </si>
  <si>
    <t>First Flight (walking to 3 yrs, adult-assisted 1:1) · Second Flight (3-4 yrs, 5:1 ratio) · Soaring Eagles (4 to 5.5 yrs). Super Flyers 1 and 2 exist in the structure but are not currently offered.</t>
  </si>
  <si>
    <t>Cat1 = Recreational AND Cat2 = Pre-School or Parent-Child. Cat3 values: PS2, PS3, PS4, PC1.</t>
  </si>
  <si>
    <t>Monthly, By Class Fee</t>
  </si>
  <si>
    <t>45 classes (39 billable) · 211 enrolled of 309 capacity · 68.3% fill · $114-$122/month. The funnel feeder for the whole business — the gym states it specialises in preschool development.</t>
  </si>
  <si>
    <t>Red, White, Blue, Silver and Gold Wings, kindergarten through age 19. Also absorbs the 'Hot Shots' girls pre-team class (9 students).</t>
  </si>
  <si>
    <t>Cat1 = Recreational AND Cat2 = Rec Girls. Cat3 values: Girls G1 through G5, plus Girls PT1.</t>
  </si>
  <si>
    <t>85 classes (75 billable) · 402 enrolled of 579 capacity · 69.4% fill · $143-$300/month. Roughly 40% of all enrolment — this row will dominate the sheet. Price rises with weekly hours (1.25 hrs at Red up to 2 hrs at Gold), so the range reflects the ladder, not discounting.</t>
  </si>
  <si>
    <t>Boys Red, White and Blue Wings, ages 5-18, across the six men's Olympic events. Also absorbs the 'Boys Advanced 2 hr' pre-team class (1 student).</t>
  </si>
  <si>
    <t>Cat1 = Recreational AND Cat2 = Rec Boys. Cat3 values: Boys B1, Boys B2, Boys PT2.</t>
  </si>
  <si>
    <t>11 classes (8 billable) · 33 enrolled of 64 capacity · 51.6% fill · $143-$250/month. WEAKEST FILL RATE — running about half empty. Coach cost is fixed once a class runs, so these empty seats are pure lost margin. Likely the highest-leverage item in the analysis.</t>
  </si>
  <si>
    <t>Beginner, Intermediate and Advanced tumbling, ages 5-21, co-ed. Non-Olympic track — floor and trampoline only.</t>
  </si>
  <si>
    <t>Cat1 = Recreational AND Cat2 = Tumble (Combined). Cat3 = Tumble.</t>
  </si>
  <si>
    <t>12 classes (9 billable) · 62 enrolled of 76 capacity · 81.6% fill · $122-$183/month. BEST FILL RATE of any service. Worth asking whether capacity should be added here.</t>
  </si>
  <si>
    <t>Six-week summer sessions across the Wings levels and tumbling. Marketed on the website as 'Summer Mini-Sessions'.</t>
  </si>
  <si>
    <t>Session = '2026 Summer Intensive'. Cat2 varies (Rec Girls, Rec Boys, Tumble), so filter on SESSION, not category.</t>
  </si>
  <si>
    <t>FLAT 6-week fee — NOT monthly</t>
  </si>
  <si>
    <t>11 classes · $183-$300 per 6-week block. Kept as its own row specifically because the billing basis differs. Blending it into the rec rows would make Avg. Transaction Value meaningless, since you would be averaging a monthly charge against a one-time seasonal fee.</t>
  </si>
  <si>
    <t>Girls' and boys' competitive teams: Xcel (Silver, Gold, Platinum, Diamond), Women's Development Program (L3, L4, Optionals), Mens Devo and Womens Devo. Includes Pre-Team athletes who have moved onto team billing.</t>
  </si>
  <si>
    <t>Cat1 = Team. REVENUE COMES FROM THE 7 HOUR-TIER BILLING GROUPS ONLY. The other 11 Team records are $0 roster and practice containers.</t>
  </si>
  <si>
    <t>Monthly, by hour tier: 1 day $255 · 6 hrs $310 · 2 days $350 · 9 hrs $385 · 12 hrs $440 · 16 hrs $485 · 20 hrs $543</t>
  </si>
  <si>
    <t>77 athletes on the roster; 74 enrolled across billing groups. WARNING: each athlete sits in a billing group AND a practice group AND the roster, so summing enrolment across all 18 Team records triple-counts them (gives 288). Also note billing groups are gender-blind — team revenue CANNOT be split girls vs boys, only headcount can.</t>
  </si>
  <si>
    <t>Prepaid one-hour supervised open gym sessions, participants up to age 21. Drop-ins have been discontinued; prepayment is required at least one hour before the session.</t>
  </si>
  <si>
    <t>Not a class — does not appear in the class list. Isolate via transaction sub-type in the Transaction Listing or Revenue Summary report.</t>
  </si>
  <si>
    <t>Per session, prepaid</t>
  </si>
  <si>
    <t>No class records to count. Marginal coach cost is supervision only, so gross margin should be materially higher than tuition rows. Confirm it posts to its own transaction sub-type — if it posts as generic 'Tuition' this row cannot be isolated without cleanup.</t>
  </si>
  <si>
    <t>The $45 annual membership fee charged per student on enrolment and billed annually thereafter.</t>
  </si>
  <si>
    <t>Not a class. Isolate via transaction sub-type. Verify it is not posting as generic 'Tuition'.</t>
  </si>
  <si>
    <t>$45 per student, annually</t>
  </si>
  <si>
    <t>Essentially 100% margin — there is no coach labour behind it. Kept as its own row so it does not inflate the gross margin of the tuition rows. Transaction count here is a clean proxy for new-student volume.</t>
  </si>
  <si>
    <t>NOT INCLUDED — pending a decision</t>
  </si>
  <si>
    <t>Events -- American Flyers Cup.  The gym hosts this meet annually, but the American Flyers Booster Club is a</t>
  </si>
  <si>
    <t>separate 501(c)(3). If entry fees and meet revenue run through the Booster Club's books rather than the gym's,</t>
  </si>
  <si>
    <t>it is a different legal entity and does not belong in this analysis. Confirm with the client before adding a row.</t>
  </si>
  <si>
    <t>Competitive -- Pre-Team.  Dropped deliberately. Only 2 classes and 10 students exist (Hot Shots, 9; Boys</t>
  </si>
  <si>
    <t>Advanced 2 hr, 1), and Jackrabbit already files them under Rec Girls and Rec Boys. As a revenue row it is</t>
  </si>
  <si>
    <t>rounding error and would require a Cat3 override to maintain. Track pre-team as a headcount metric instead.</t>
  </si>
  <si>
    <t>Source: Jackrabbit Class List export (176 classes, 28 July 2026) and maineacademy.com, crawled 28 July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</si>
</sst>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\$#,##0;&quot;($&quot;#,##0\);\-"/>
    <numFmt numFmtId="166" formatCode="0.0%;\(0.0%\);\-"/>
  </numFmts>
  <fonts count="18" x14ac:knownFonts="1">
    <font>
      <sz val="11"/>
      <color theme="1"/>
      <name val="Calibri"/>
      <family val="2"/>
      <charset val="1"/>
    </font>
    <font>
      <sz val="10"/>
      <color rgb="FFFFFFFF"/>
      <name val="Arial"/>
      <charset val="1"/>
    </font>
    <font>
      <b/>
      <sz val="16"/>
      <color rgb="FFFFFFFF"/>
      <name val="Arial"/>
      <charset val="1"/>
    </font>
    <font>
      <sz val="11"/>
      <color rgb="FFC9D1E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1F2937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9"/>
      <color rgb="FFFFD479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D479"/>
      <name val="Arial"/>
      <charset val="1"/>
    </font>
    <font>
      <b/>
      <sz val="15"/>
      <color rgb="FFFFFFFF"/>
      <name val="Arial"/>
      <charset val="1"/>
    </font>
    <font>
      <i/>
      <sz val="10"/>
      <color rgb="FFC9D1E0"/>
      <name val="Arial"/>
      <charset val="1"/>
    </font>
    <font>
      <i/>
      <sz val="9"/>
      <color rgb="FFC9D1E0"/>
      <name val="Arial"/>
      <charset val="1"/>
    </font>
    <font>
      <sz val="9"/>
      <color rgb="FF1F2937"/>
      <name val="Arial"/>
      <charset val="1"/>
    </font>
    <font>
      <b/>
      <sz val="11"/>
      <color rgb="FFFFD47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FFFFFF"/>
        <bgColor rgb="FFFFFFCC"/>
      </patternFill>
    </fill>
    <fill>
      <patternFill patternType="solid">
        <fgColor rgb="FFD6DEF5"/>
        <bgColor rgb="FFDCE3F2"/>
      </patternFill>
    </fill>
    <fill>
      <patternFill patternType="solid">
        <fgColor rgb="FFDCE3F2"/>
        <bgColor rgb="FFD6DEF5"/>
      </patternFill>
    </fill>
    <fill>
      <patternFill patternType="solid">
        <fgColor rgb="FFB9C4DC"/>
        <bgColor rgb="FFC9D1E0"/>
      </patternFill>
    </fill>
    <fill>
      <patternFill patternType="solid">
        <fgColor rgb="FF4A5468"/>
        <bgColor rgb="FF5A6478"/>
      </patternFill>
    </fill>
    <fill>
      <patternFill patternType="solid">
        <fgColor rgb="FF5A6478"/>
        <bgColor rgb="FF4A5468"/>
      </patternFill>
    </fill>
  </fills>
  <borders count="2">
    <border>
      <left/>
      <right/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164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 indent="1"/>
    </xf>
    <xf numFmtId="164" fontId="7" fillId="4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5" fontId="8" fillId="6" borderId="1" xfId="0" applyNumberFormat="1" applyFont="1" applyFill="1" applyBorder="1" applyAlignment="1">
      <alignment horizontal="center"/>
    </xf>
    <xf numFmtId="166" fontId="7" fillId="4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indent="1"/>
    </xf>
    <xf numFmtId="164" fontId="5" fillId="7" borderId="1" xfId="0" applyNumberFormat="1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166" fontId="5" fillId="7" borderId="1" xfId="0" applyNumberFormat="1" applyFont="1" applyFill="1" applyBorder="1" applyAlignment="1">
      <alignment horizontal="center"/>
    </xf>
    <xf numFmtId="0" fontId="9" fillId="2" borderId="0" xfId="0" applyFont="1" applyFill="1"/>
    <xf numFmtId="0" fontId="10" fillId="8" borderId="1" xfId="0" applyFont="1" applyFill="1" applyBorder="1" applyAlignment="1">
      <alignment horizontal="left" indent="1"/>
    </xf>
    <xf numFmtId="164" fontId="10" fillId="9" borderId="1" xfId="0" applyNumberFormat="1" applyFont="1" applyFill="1" applyBorder="1" applyAlignment="1">
      <alignment horizontal="center"/>
    </xf>
    <xf numFmtId="165" fontId="10" fillId="9" borderId="1" xfId="0" applyNumberFormat="1" applyFont="1" applyFill="1" applyBorder="1" applyAlignment="1">
      <alignment horizontal="center"/>
    </xf>
    <xf numFmtId="166" fontId="10" fillId="9" borderId="1" xfId="0" applyNumberFormat="1" applyFont="1" applyFill="1" applyBorder="1" applyAlignment="1">
      <alignment horizontal="center"/>
    </xf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4" fillId="3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top" wrapText="1" indent="1"/>
    </xf>
    <xf numFmtId="0" fontId="16" fillId="6" borderId="1" xfId="0" applyFont="1" applyFill="1" applyBorder="1" applyAlignment="1">
      <alignment horizontal="left" vertical="top" wrapText="1" indent="1"/>
    </xf>
    <xf numFmtId="0" fontId="1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C"/>
      <rgbColor rgb="FF808080"/>
      <rgbColor rgb="FF9999FF"/>
      <rgbColor rgb="FF8B3DD7"/>
      <rgbColor rgb="FFFFFFCC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CCFFCC"/>
      <rgbColor rgb="FFFFFF99"/>
      <rgbColor rgb="FF99CCFF"/>
      <rgbColor rgb="FFFF99CC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5A6478"/>
      <rgbColor rgb="FF9AA3B2"/>
      <rgbColor rgb="FF003366"/>
      <rgbColor rgb="FF339966"/>
      <rgbColor rgb="FF003300"/>
      <rgbColor rgb="FF1F2937"/>
      <rgbColor rgb="FF993300"/>
      <rgbColor rgb="FF993366"/>
      <rgbColor rgb="FF4A5468"/>
      <rgbColor rgb="FF2F36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6"/>
  <sheetViews>
    <sheetView showGridLines="0" tabSelected="1" zoomScaleNormal="10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activeCell="D31" sqref="D31"/>
    </sheetView>
  </sheetViews>
  <sheetFormatPr defaultColWidth="8.7109375" defaultRowHeight="15" x14ac:dyDescent="0.25"/>
  <cols>
    <col min="1" max="1" width="2" customWidth="1"/>
    <col min="2" max="2" width="60.140625" customWidth="1"/>
    <col min="3" max="20" width="13" customWidth="1"/>
  </cols>
  <sheetData>
    <row r="1" spans="1:22" ht="20.25" x14ac:dyDescent="0.3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2"/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2"/>
      <c r="B4" s="2"/>
      <c r="C4" s="5" t="s">
        <v>2</v>
      </c>
      <c r="D4" s="5" t="s">
        <v>3</v>
      </c>
      <c r="E4" s="5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25">
      <c r="A5" s="2"/>
      <c r="B5" s="6" t="s">
        <v>5</v>
      </c>
      <c r="C5" s="7">
        <f>C23</f>
        <v>0</v>
      </c>
      <c r="D5" s="7">
        <f>D23</f>
        <v>0</v>
      </c>
      <c r="E5" s="7">
        <f>E23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A6" s="2"/>
      <c r="B6" s="6" t="s">
        <v>6</v>
      </c>
      <c r="C6" s="8">
        <f>IFERROR(I23/C23,0)</f>
        <v>0</v>
      </c>
      <c r="D6" s="8">
        <f>IFERROR(J23/D23,0)</f>
        <v>0</v>
      </c>
      <c r="E6" s="8">
        <f>IFERROR(K23/E23,0)</f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5">
      <c r="A7" s="2"/>
      <c r="B7" s="6" t="s">
        <v>7</v>
      </c>
      <c r="C7" s="8">
        <f>I23</f>
        <v>0</v>
      </c>
      <c r="D7" s="8">
        <f>J23</f>
        <v>0</v>
      </c>
      <c r="E7" s="8">
        <f>K23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s="2"/>
      <c r="B9" s="6" t="s">
        <v>8</v>
      </c>
      <c r="C9" s="9">
        <f>IFERROR(L23/I23,0)</f>
        <v>0</v>
      </c>
      <c r="D9" s="9">
        <f>IFERROR(M23/J23,0)</f>
        <v>0</v>
      </c>
      <c r="E9" s="9">
        <f>IFERROR(N23/K23,0)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2"/>
      <c r="B11" s="6" t="s">
        <v>9</v>
      </c>
      <c r="C11" s="8">
        <f>R23</f>
        <v>0</v>
      </c>
      <c r="D11" s="8">
        <f>S23</f>
        <v>0</v>
      </c>
      <c r="E11" s="8">
        <f>T23</f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s="2"/>
      <c r="B12" s="6" t="s">
        <v>10</v>
      </c>
      <c r="C12" s="9">
        <f>IFERROR(R23/I23,0)</f>
        <v>0</v>
      </c>
      <c r="D12" s="9">
        <f>IFERROR(S23/J23,0)</f>
        <v>0</v>
      </c>
      <c r="E12" s="9">
        <f>IFERROR(T23/K23,0)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5" customHeight="1" x14ac:dyDescent="0.25">
      <c r="A13" s="2"/>
      <c r="B13" s="1" t="s">
        <v>11</v>
      </c>
      <c r="C13" s="1" t="s">
        <v>12</v>
      </c>
      <c r="D13" s="1"/>
      <c r="E13" s="1"/>
      <c r="F13" s="1" t="s">
        <v>13</v>
      </c>
      <c r="G13" s="1"/>
      <c r="H13" s="1"/>
      <c r="I13" s="1" t="s">
        <v>7</v>
      </c>
      <c r="J13" s="1"/>
      <c r="K13" s="1"/>
      <c r="L13" s="1" t="s">
        <v>14</v>
      </c>
      <c r="M13" s="1"/>
      <c r="N13" s="1"/>
      <c r="O13" s="1" t="s">
        <v>15</v>
      </c>
      <c r="P13" s="1"/>
      <c r="Q13" s="1"/>
      <c r="R13" s="1" t="s">
        <v>16</v>
      </c>
      <c r="S13" s="1"/>
      <c r="T13" s="1"/>
      <c r="U13" s="2"/>
      <c r="V13" s="2"/>
    </row>
    <row r="14" spans="1:22" x14ac:dyDescent="0.25">
      <c r="A14" s="2"/>
      <c r="B14" s="1"/>
      <c r="C14" s="5" t="s">
        <v>2</v>
      </c>
      <c r="D14" s="5" t="s">
        <v>3</v>
      </c>
      <c r="E14" s="5" t="s">
        <v>4</v>
      </c>
      <c r="F14" s="5" t="s">
        <v>2</v>
      </c>
      <c r="G14" s="5" t="s">
        <v>3</v>
      </c>
      <c r="H14" s="5" t="s">
        <v>4</v>
      </c>
      <c r="I14" s="5" t="s">
        <v>2</v>
      </c>
      <c r="J14" s="5" t="s">
        <v>3</v>
      </c>
      <c r="K14" s="5" t="s">
        <v>4</v>
      </c>
      <c r="L14" s="5" t="s">
        <v>2</v>
      </c>
      <c r="M14" s="5" t="s">
        <v>3</v>
      </c>
      <c r="N14" s="5" t="s">
        <v>4</v>
      </c>
      <c r="O14" s="5" t="s">
        <v>2</v>
      </c>
      <c r="P14" s="5" t="s">
        <v>3</v>
      </c>
      <c r="Q14" s="5" t="s">
        <v>4</v>
      </c>
      <c r="R14" s="5" t="s">
        <v>2</v>
      </c>
      <c r="S14" s="5" t="s">
        <v>3</v>
      </c>
      <c r="T14" s="5" t="s">
        <v>4</v>
      </c>
      <c r="U14" s="2"/>
      <c r="V14" s="2"/>
    </row>
    <row r="15" spans="1:22" x14ac:dyDescent="0.25">
      <c r="A15" s="2"/>
      <c r="B15" s="10" t="s">
        <v>17</v>
      </c>
      <c r="C15" s="11"/>
      <c r="D15" s="11"/>
      <c r="E15" s="11"/>
      <c r="F15" s="12"/>
      <c r="G15" s="12"/>
      <c r="H15" s="12"/>
      <c r="I15" s="13">
        <f t="shared" ref="I15:K22" si="0">C15*F15</f>
        <v>0</v>
      </c>
      <c r="J15" s="13">
        <f t="shared" si="0"/>
        <v>0</v>
      </c>
      <c r="K15" s="13">
        <f t="shared" si="0"/>
        <v>0</v>
      </c>
      <c r="L15" s="13">
        <f t="shared" ref="L15:N22" si="1">I15*O15</f>
        <v>0</v>
      </c>
      <c r="M15" s="13">
        <f t="shared" si="1"/>
        <v>0</v>
      </c>
      <c r="N15" s="13">
        <f t="shared" si="1"/>
        <v>0</v>
      </c>
      <c r="O15" s="14"/>
      <c r="P15" s="14"/>
      <c r="Q15" s="14"/>
      <c r="R15" s="13">
        <f t="shared" ref="R15:T22" si="2">I15-L15</f>
        <v>0</v>
      </c>
      <c r="S15" s="13">
        <f t="shared" si="2"/>
        <v>0</v>
      </c>
      <c r="T15" s="13">
        <f t="shared" si="2"/>
        <v>0</v>
      </c>
      <c r="U15" s="2"/>
      <c r="V15" s="2"/>
    </row>
    <row r="16" spans="1:22" x14ac:dyDescent="0.25">
      <c r="A16" s="2"/>
      <c r="B16" s="10" t="s">
        <v>18</v>
      </c>
      <c r="C16" s="11"/>
      <c r="D16" s="11"/>
      <c r="E16" s="11"/>
      <c r="F16" s="12"/>
      <c r="G16" s="12"/>
      <c r="H16" s="12"/>
      <c r="I16" s="13">
        <f t="shared" si="0"/>
        <v>0</v>
      </c>
      <c r="J16" s="13">
        <f t="shared" si="0"/>
        <v>0</v>
      </c>
      <c r="K16" s="13">
        <f t="shared" si="0"/>
        <v>0</v>
      </c>
      <c r="L16" s="13">
        <f t="shared" si="1"/>
        <v>0</v>
      </c>
      <c r="M16" s="13">
        <f t="shared" si="1"/>
        <v>0</v>
      </c>
      <c r="N16" s="13">
        <f t="shared" si="1"/>
        <v>0</v>
      </c>
      <c r="O16" s="14"/>
      <c r="P16" s="14"/>
      <c r="Q16" s="14"/>
      <c r="R16" s="13">
        <f t="shared" si="2"/>
        <v>0</v>
      </c>
      <c r="S16" s="13">
        <f t="shared" si="2"/>
        <v>0</v>
      </c>
      <c r="T16" s="13">
        <f t="shared" si="2"/>
        <v>0</v>
      </c>
      <c r="U16" s="2"/>
      <c r="V16" s="2"/>
    </row>
    <row r="17" spans="1:22" x14ac:dyDescent="0.25">
      <c r="A17" s="2"/>
      <c r="B17" s="10" t="s">
        <v>19</v>
      </c>
      <c r="C17" s="11"/>
      <c r="D17" s="11"/>
      <c r="E17" s="11"/>
      <c r="F17" s="12"/>
      <c r="G17" s="12"/>
      <c r="H17" s="12"/>
      <c r="I17" s="13">
        <f t="shared" si="0"/>
        <v>0</v>
      </c>
      <c r="J17" s="13">
        <f t="shared" si="0"/>
        <v>0</v>
      </c>
      <c r="K17" s="13">
        <f t="shared" si="0"/>
        <v>0</v>
      </c>
      <c r="L17" s="13">
        <f t="shared" si="1"/>
        <v>0</v>
      </c>
      <c r="M17" s="13">
        <f t="shared" si="1"/>
        <v>0</v>
      </c>
      <c r="N17" s="13">
        <f t="shared" si="1"/>
        <v>0</v>
      </c>
      <c r="O17" s="14"/>
      <c r="P17" s="14"/>
      <c r="Q17" s="14"/>
      <c r="R17" s="13">
        <f t="shared" si="2"/>
        <v>0</v>
      </c>
      <c r="S17" s="13">
        <f t="shared" si="2"/>
        <v>0</v>
      </c>
      <c r="T17" s="13">
        <f t="shared" si="2"/>
        <v>0</v>
      </c>
      <c r="U17" s="2"/>
      <c r="V17" s="2"/>
    </row>
    <row r="18" spans="1:22" x14ac:dyDescent="0.25">
      <c r="A18" s="2"/>
      <c r="B18" s="10" t="s">
        <v>20</v>
      </c>
      <c r="C18" s="11"/>
      <c r="D18" s="11"/>
      <c r="E18" s="11"/>
      <c r="F18" s="12"/>
      <c r="G18" s="12"/>
      <c r="H18" s="12"/>
      <c r="I18" s="13">
        <f t="shared" si="0"/>
        <v>0</v>
      </c>
      <c r="J18" s="13">
        <f t="shared" si="0"/>
        <v>0</v>
      </c>
      <c r="K18" s="13">
        <f t="shared" si="0"/>
        <v>0</v>
      </c>
      <c r="L18" s="13">
        <f t="shared" si="1"/>
        <v>0</v>
      </c>
      <c r="M18" s="13">
        <f t="shared" si="1"/>
        <v>0</v>
      </c>
      <c r="N18" s="13">
        <f t="shared" si="1"/>
        <v>0</v>
      </c>
      <c r="O18" s="14"/>
      <c r="P18" s="14"/>
      <c r="Q18" s="14"/>
      <c r="R18" s="13">
        <f t="shared" si="2"/>
        <v>0</v>
      </c>
      <c r="S18" s="13">
        <f t="shared" si="2"/>
        <v>0</v>
      </c>
      <c r="T18" s="13">
        <f t="shared" si="2"/>
        <v>0</v>
      </c>
      <c r="U18" s="2"/>
      <c r="V18" s="2"/>
    </row>
    <row r="19" spans="1:22" x14ac:dyDescent="0.25">
      <c r="A19" s="2"/>
      <c r="B19" s="10" t="s">
        <v>21</v>
      </c>
      <c r="C19" s="11"/>
      <c r="D19" s="11"/>
      <c r="E19" s="11"/>
      <c r="F19" s="12"/>
      <c r="G19" s="12"/>
      <c r="H19" s="12"/>
      <c r="I19" s="13">
        <f t="shared" si="0"/>
        <v>0</v>
      </c>
      <c r="J19" s="13">
        <f t="shared" si="0"/>
        <v>0</v>
      </c>
      <c r="K19" s="13">
        <f t="shared" si="0"/>
        <v>0</v>
      </c>
      <c r="L19" s="13">
        <f t="shared" si="1"/>
        <v>0</v>
      </c>
      <c r="M19" s="13">
        <f t="shared" si="1"/>
        <v>0</v>
      </c>
      <c r="N19" s="13">
        <f t="shared" si="1"/>
        <v>0</v>
      </c>
      <c r="O19" s="14"/>
      <c r="P19" s="14"/>
      <c r="Q19" s="14"/>
      <c r="R19" s="13">
        <f t="shared" si="2"/>
        <v>0</v>
      </c>
      <c r="S19" s="13">
        <f t="shared" si="2"/>
        <v>0</v>
      </c>
      <c r="T19" s="13">
        <f t="shared" si="2"/>
        <v>0</v>
      </c>
      <c r="U19" s="2"/>
      <c r="V19" s="2"/>
    </row>
    <row r="20" spans="1:22" x14ac:dyDescent="0.25">
      <c r="A20" s="2"/>
      <c r="B20" s="10" t="s">
        <v>22</v>
      </c>
      <c r="C20" s="11"/>
      <c r="D20" s="11"/>
      <c r="E20" s="11"/>
      <c r="F20" s="12"/>
      <c r="G20" s="12"/>
      <c r="H20" s="12"/>
      <c r="I20" s="13">
        <f t="shared" si="0"/>
        <v>0</v>
      </c>
      <c r="J20" s="13">
        <f t="shared" si="0"/>
        <v>0</v>
      </c>
      <c r="K20" s="13">
        <f t="shared" si="0"/>
        <v>0</v>
      </c>
      <c r="L20" s="13">
        <f t="shared" si="1"/>
        <v>0</v>
      </c>
      <c r="M20" s="13">
        <f t="shared" si="1"/>
        <v>0</v>
      </c>
      <c r="N20" s="13">
        <f t="shared" si="1"/>
        <v>0</v>
      </c>
      <c r="O20" s="14"/>
      <c r="P20" s="14"/>
      <c r="Q20" s="14"/>
      <c r="R20" s="13">
        <f t="shared" si="2"/>
        <v>0</v>
      </c>
      <c r="S20" s="13">
        <f t="shared" si="2"/>
        <v>0</v>
      </c>
      <c r="T20" s="13">
        <f t="shared" si="2"/>
        <v>0</v>
      </c>
      <c r="U20" s="2"/>
      <c r="V20" s="2"/>
    </row>
    <row r="21" spans="1:22" x14ac:dyDescent="0.25">
      <c r="A21" s="2"/>
      <c r="B21" s="10" t="s">
        <v>23</v>
      </c>
      <c r="C21" s="11"/>
      <c r="D21" s="11"/>
      <c r="E21" s="11"/>
      <c r="F21" s="12"/>
      <c r="G21" s="12"/>
      <c r="H21" s="12"/>
      <c r="I21" s="13">
        <f t="shared" si="0"/>
        <v>0</v>
      </c>
      <c r="J21" s="13">
        <f t="shared" si="0"/>
        <v>0</v>
      </c>
      <c r="K21" s="13">
        <f t="shared" si="0"/>
        <v>0</v>
      </c>
      <c r="L21" s="13">
        <f t="shared" si="1"/>
        <v>0</v>
      </c>
      <c r="M21" s="13">
        <f t="shared" si="1"/>
        <v>0</v>
      </c>
      <c r="N21" s="13">
        <f t="shared" si="1"/>
        <v>0</v>
      </c>
      <c r="O21" s="14"/>
      <c r="P21" s="14"/>
      <c r="Q21" s="14"/>
      <c r="R21" s="13">
        <f t="shared" si="2"/>
        <v>0</v>
      </c>
      <c r="S21" s="13">
        <f t="shared" si="2"/>
        <v>0</v>
      </c>
      <c r="T21" s="13">
        <f t="shared" si="2"/>
        <v>0</v>
      </c>
      <c r="U21" s="2"/>
      <c r="V21" s="2"/>
    </row>
    <row r="22" spans="1:22" x14ac:dyDescent="0.25">
      <c r="A22" s="2"/>
      <c r="B22" s="10" t="s">
        <v>24</v>
      </c>
      <c r="C22" s="11"/>
      <c r="D22" s="11"/>
      <c r="E22" s="11"/>
      <c r="F22" s="12"/>
      <c r="G22" s="12"/>
      <c r="H22" s="12"/>
      <c r="I22" s="13">
        <f t="shared" si="0"/>
        <v>0</v>
      </c>
      <c r="J22" s="13">
        <f t="shared" si="0"/>
        <v>0</v>
      </c>
      <c r="K22" s="13">
        <f t="shared" si="0"/>
        <v>0</v>
      </c>
      <c r="L22" s="13">
        <f t="shared" si="1"/>
        <v>0</v>
      </c>
      <c r="M22" s="13">
        <f t="shared" si="1"/>
        <v>0</v>
      </c>
      <c r="N22" s="13">
        <f t="shared" si="1"/>
        <v>0</v>
      </c>
      <c r="O22" s="14"/>
      <c r="P22" s="14"/>
      <c r="Q22" s="14"/>
      <c r="R22" s="13">
        <f t="shared" si="2"/>
        <v>0</v>
      </c>
      <c r="S22" s="13">
        <f t="shared" si="2"/>
        <v>0</v>
      </c>
      <c r="T22" s="13">
        <f t="shared" si="2"/>
        <v>0</v>
      </c>
      <c r="U22" s="2"/>
      <c r="V22" s="2"/>
    </row>
    <row r="23" spans="1:22" x14ac:dyDescent="0.25">
      <c r="A23" s="2"/>
      <c r="B23" s="15" t="s">
        <v>25</v>
      </c>
      <c r="C23" s="16">
        <f>SUM(C15:C22)</f>
        <v>0</v>
      </c>
      <c r="D23" s="16">
        <f>SUM(D15:D22)</f>
        <v>0</v>
      </c>
      <c r="E23" s="16">
        <f>SUM(E15:E22)</f>
        <v>0</v>
      </c>
      <c r="F23" s="17">
        <f>IFERROR(I23/C23,0)</f>
        <v>0</v>
      </c>
      <c r="G23" s="17">
        <f>IFERROR(J23/D23,0)</f>
        <v>0</v>
      </c>
      <c r="H23" s="17">
        <f>IFERROR(K23/E23,0)</f>
        <v>0</v>
      </c>
      <c r="I23" s="17">
        <f t="shared" ref="I23:N23" si="3">SUM(I15:I22)</f>
        <v>0</v>
      </c>
      <c r="J23" s="17">
        <f t="shared" si="3"/>
        <v>0</v>
      </c>
      <c r="K23" s="17">
        <f t="shared" si="3"/>
        <v>0</v>
      </c>
      <c r="L23" s="17">
        <f t="shared" si="3"/>
        <v>0</v>
      </c>
      <c r="M23" s="17">
        <f t="shared" si="3"/>
        <v>0</v>
      </c>
      <c r="N23" s="17">
        <f t="shared" si="3"/>
        <v>0</v>
      </c>
      <c r="O23" s="18">
        <f>IFERROR(L23/I23,0)</f>
        <v>0</v>
      </c>
      <c r="P23" s="18">
        <f>IFERROR(M23/J23,0)</f>
        <v>0</v>
      </c>
      <c r="Q23" s="18">
        <f>IFERROR(N23/K23,0)</f>
        <v>0</v>
      </c>
      <c r="R23" s="17">
        <f>SUM(R15:R22)</f>
        <v>0</v>
      </c>
      <c r="S23" s="17">
        <f>SUM(S15:S22)</f>
        <v>0</v>
      </c>
      <c r="T23" s="17">
        <f>SUM(T15:T22)</f>
        <v>0</v>
      </c>
      <c r="U23" s="2"/>
      <c r="V23" s="2"/>
    </row>
    <row r="24" spans="1:22" x14ac:dyDescent="0.25">
      <c r="A24" s="2"/>
      <c r="B24" s="19" t="s">
        <v>26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5">
      <c r="A25" s="2"/>
      <c r="B25" s="20" t="s">
        <v>27</v>
      </c>
      <c r="C25" s="21">
        <v>4180</v>
      </c>
      <c r="D25" s="21">
        <v>4390</v>
      </c>
      <c r="E25" s="21">
        <v>4640</v>
      </c>
      <c r="F25" s="22">
        <v>168</v>
      </c>
      <c r="G25" s="22">
        <v>174</v>
      </c>
      <c r="H25" s="22">
        <v>179</v>
      </c>
      <c r="I25" s="22">
        <f>C25*F25</f>
        <v>702240</v>
      </c>
      <c r="J25" s="22">
        <f>D25*G25</f>
        <v>763860</v>
      </c>
      <c r="K25" s="22">
        <f>E25*H25</f>
        <v>830560</v>
      </c>
      <c r="L25" s="22">
        <f>I25*O25</f>
        <v>308985.59999999998</v>
      </c>
      <c r="M25" s="22">
        <f>J25*P25</f>
        <v>320821.2</v>
      </c>
      <c r="N25" s="22">
        <f>K25*Q25</f>
        <v>340529.6</v>
      </c>
      <c r="O25" s="23">
        <v>0.44</v>
      </c>
      <c r="P25" s="23">
        <v>0.42</v>
      </c>
      <c r="Q25" s="23">
        <v>0.41</v>
      </c>
      <c r="R25" s="22">
        <f>I25-L25</f>
        <v>393254.40000000002</v>
      </c>
      <c r="S25" s="22">
        <f>J25-M25</f>
        <v>443038.8</v>
      </c>
      <c r="T25" s="22">
        <f>K25-N25</f>
        <v>490030.4</v>
      </c>
      <c r="U25" s="2"/>
      <c r="V25" s="2"/>
    </row>
    <row r="26" spans="1:2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5">
      <c r="A28" s="2"/>
      <c r="B28" s="24" t="s">
        <v>28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5">
      <c r="A29" s="2"/>
      <c r="B29" s="2" t="s">
        <v>29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5">
      <c r="A30" s="2"/>
      <c r="B30" s="2" t="s">
        <v>30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5">
      <c r="A31" s="2"/>
      <c r="B31" s="2" t="s">
        <v>31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5">
      <c r="A33" s="2"/>
      <c r="B33" s="25" t="s">
        <v>32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2"/>
      <c r="B34" s="2" t="s">
        <v>33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25">
      <c r="A36" s="2"/>
      <c r="B36" s="25" t="s">
        <v>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5">
      <c r="A37" s="2"/>
      <c r="B37" s="2" t="s">
        <v>35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25">
      <c r="A39" s="2"/>
      <c r="B39" s="2" t="s">
        <v>36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</sheetData>
  <mergeCells count="7">
    <mergeCell ref="O13:Q13"/>
    <mergeCell ref="R13:T13"/>
    <mergeCell ref="B13:B14"/>
    <mergeCell ref="C13:E13"/>
    <mergeCell ref="F13:H13"/>
    <mergeCell ref="I13:K13"/>
    <mergeCell ref="L13:N1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8" customWidth="1"/>
    <col min="3" max="3" width="44" customWidth="1"/>
    <col min="4" max="4" width="40" customWidth="1"/>
    <col min="5" max="5" width="22" customWidth="1"/>
    <col min="6" max="6" width="46" customWidth="1"/>
  </cols>
  <sheetData>
    <row r="1" spans="1:8" ht="19.5" x14ac:dyDescent="0.3">
      <c r="A1" s="2"/>
      <c r="B1" s="26" t="s">
        <v>37</v>
      </c>
      <c r="C1" s="2"/>
      <c r="D1" s="2"/>
      <c r="E1" s="2"/>
      <c r="F1" s="2"/>
      <c r="G1" s="2"/>
      <c r="H1" s="2"/>
    </row>
    <row r="2" spans="1:8" x14ac:dyDescent="0.25">
      <c r="A2" s="2"/>
      <c r="B2" s="27" t="s">
        <v>38</v>
      </c>
      <c r="C2" s="2"/>
      <c r="D2" s="2"/>
      <c r="E2" s="2"/>
      <c r="F2" s="2"/>
      <c r="G2" s="2"/>
      <c r="H2" s="2"/>
    </row>
    <row r="3" spans="1:8" x14ac:dyDescent="0.25">
      <c r="A3" s="2"/>
      <c r="B3" s="28" t="s">
        <v>39</v>
      </c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9" t="s">
        <v>40</v>
      </c>
      <c r="C5" s="29" t="s">
        <v>41</v>
      </c>
      <c r="D5" s="29" t="s">
        <v>42</v>
      </c>
      <c r="E5" s="29" t="s">
        <v>43</v>
      </c>
      <c r="F5" s="29" t="s">
        <v>44</v>
      </c>
      <c r="G5" s="2"/>
      <c r="H5" s="2"/>
    </row>
    <row r="6" spans="1:8" ht="96" customHeight="1" x14ac:dyDescent="0.25">
      <c r="A6" s="2"/>
      <c r="B6" s="30" t="s">
        <v>17</v>
      </c>
      <c r="C6" s="31" t="s">
        <v>45</v>
      </c>
      <c r="D6" s="31" t="s">
        <v>46</v>
      </c>
      <c r="E6" s="31" t="s">
        <v>47</v>
      </c>
      <c r="F6" s="31" t="s">
        <v>48</v>
      </c>
      <c r="G6" s="2"/>
      <c r="H6" s="2"/>
    </row>
    <row r="7" spans="1:8" ht="96" customHeight="1" x14ac:dyDescent="0.25">
      <c r="A7" s="2"/>
      <c r="B7" s="30" t="s">
        <v>18</v>
      </c>
      <c r="C7" s="31" t="s">
        <v>49</v>
      </c>
      <c r="D7" s="31" t="s">
        <v>50</v>
      </c>
      <c r="E7" s="31" t="s">
        <v>47</v>
      </c>
      <c r="F7" s="31" t="s">
        <v>51</v>
      </c>
      <c r="G7" s="2"/>
      <c r="H7" s="2"/>
    </row>
    <row r="8" spans="1:8" ht="96" customHeight="1" x14ac:dyDescent="0.25">
      <c r="A8" s="2"/>
      <c r="B8" s="30" t="s">
        <v>19</v>
      </c>
      <c r="C8" s="31" t="s">
        <v>52</v>
      </c>
      <c r="D8" s="31" t="s">
        <v>53</v>
      </c>
      <c r="E8" s="31" t="s">
        <v>47</v>
      </c>
      <c r="F8" s="31" t="s">
        <v>54</v>
      </c>
      <c r="G8" s="2"/>
      <c r="H8" s="2"/>
    </row>
    <row r="9" spans="1:8" ht="96" customHeight="1" x14ac:dyDescent="0.25">
      <c r="A9" s="2"/>
      <c r="B9" s="30" t="s">
        <v>20</v>
      </c>
      <c r="C9" s="31" t="s">
        <v>55</v>
      </c>
      <c r="D9" s="31" t="s">
        <v>56</v>
      </c>
      <c r="E9" s="31" t="s">
        <v>47</v>
      </c>
      <c r="F9" s="31" t="s">
        <v>57</v>
      </c>
      <c r="G9" s="2"/>
      <c r="H9" s="2"/>
    </row>
    <row r="10" spans="1:8" ht="96" customHeight="1" x14ac:dyDescent="0.25">
      <c r="A10" s="2"/>
      <c r="B10" s="30" t="s">
        <v>21</v>
      </c>
      <c r="C10" s="31" t="s">
        <v>58</v>
      </c>
      <c r="D10" s="31" t="s">
        <v>59</v>
      </c>
      <c r="E10" s="31" t="s">
        <v>60</v>
      </c>
      <c r="F10" s="31" t="s">
        <v>61</v>
      </c>
      <c r="G10" s="2"/>
      <c r="H10" s="2"/>
    </row>
    <row r="11" spans="1:8" ht="96" customHeight="1" x14ac:dyDescent="0.25">
      <c r="A11" s="2"/>
      <c r="B11" s="30" t="s">
        <v>22</v>
      </c>
      <c r="C11" s="31" t="s">
        <v>62</v>
      </c>
      <c r="D11" s="31" t="s">
        <v>63</v>
      </c>
      <c r="E11" s="31" t="s">
        <v>64</v>
      </c>
      <c r="F11" s="31" t="s">
        <v>65</v>
      </c>
      <c r="G11" s="2"/>
      <c r="H11" s="2"/>
    </row>
    <row r="12" spans="1:8" ht="96" customHeight="1" x14ac:dyDescent="0.25">
      <c r="A12" s="2"/>
      <c r="B12" s="30" t="s">
        <v>23</v>
      </c>
      <c r="C12" s="31" t="s">
        <v>66</v>
      </c>
      <c r="D12" s="31" t="s">
        <v>67</v>
      </c>
      <c r="E12" s="31" t="s">
        <v>68</v>
      </c>
      <c r="F12" s="31" t="s">
        <v>69</v>
      </c>
      <c r="G12" s="2"/>
      <c r="H12" s="2"/>
    </row>
    <row r="13" spans="1:8" ht="96" customHeight="1" x14ac:dyDescent="0.25">
      <c r="A13" s="2"/>
      <c r="B13" s="30" t="s">
        <v>24</v>
      </c>
      <c r="C13" s="31" t="s">
        <v>70</v>
      </c>
      <c r="D13" s="31" t="s">
        <v>71</v>
      </c>
      <c r="E13" s="31" t="s">
        <v>72</v>
      </c>
      <c r="F13" s="31" t="s">
        <v>73</v>
      </c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32" t="s">
        <v>74</v>
      </c>
      <c r="C15" s="2"/>
      <c r="D15" s="2"/>
      <c r="E15" s="2"/>
      <c r="F15" s="2"/>
      <c r="G15" s="2"/>
      <c r="H15" s="2"/>
    </row>
    <row r="16" spans="1:8" x14ac:dyDescent="0.25">
      <c r="A16" s="2"/>
      <c r="B16" s="2" t="s">
        <v>75</v>
      </c>
      <c r="C16" s="2"/>
      <c r="D16" s="2"/>
      <c r="E16" s="2"/>
      <c r="F16" s="2"/>
      <c r="G16" s="2"/>
      <c r="H16" s="2"/>
    </row>
    <row r="17" spans="1:8" x14ac:dyDescent="0.25">
      <c r="A17" s="2"/>
      <c r="B17" s="2" t="s">
        <v>76</v>
      </c>
      <c r="C17" s="2"/>
      <c r="D17" s="2"/>
      <c r="E17" s="2"/>
      <c r="F17" s="2"/>
      <c r="G17" s="2"/>
      <c r="H17" s="2"/>
    </row>
    <row r="18" spans="1:8" x14ac:dyDescent="0.25">
      <c r="A18" s="2"/>
      <c r="B18" s="2" t="s">
        <v>77</v>
      </c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 t="s">
        <v>78</v>
      </c>
      <c r="C20" s="2"/>
      <c r="D20" s="2"/>
      <c r="E20" s="2"/>
      <c r="F20" s="2"/>
      <c r="G20" s="2"/>
      <c r="H20" s="2"/>
    </row>
    <row r="21" spans="1:8" x14ac:dyDescent="0.25">
      <c r="A21" s="2"/>
      <c r="B21" s="2" t="s">
        <v>79</v>
      </c>
      <c r="C21" s="2"/>
      <c r="D21" s="2"/>
      <c r="E21" s="2"/>
      <c r="F21" s="2"/>
      <c r="G21" s="2"/>
      <c r="H21" s="2"/>
    </row>
    <row r="22" spans="1:8" x14ac:dyDescent="0.25">
      <c r="A22" s="2"/>
      <c r="B22" s="2" t="s">
        <v>80</v>
      </c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8" t="s">
        <v>81</v>
      </c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Performance</vt:lpstr>
      <vt:lpstr>Service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 ordinary</cp:lastModifiedBy>
  <cp:revision>0</cp:revision>
  <dcterms:created xsi:type="dcterms:W3CDTF">2026-07-28T13:55:02Z</dcterms:created>
  <dcterms:modified xsi:type="dcterms:W3CDTF">2026-07-28T14:00:24Z</dcterms:modified>
  <dc:language>en-US</dc:language>
</cp:coreProperties>
</file>