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 Actuals" sheetId="1" state="visible" r:id="rId3"/>
    <sheet name="Team Detail 202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<sst xmlns="http://schemas.openxmlformats.org/spreadsheetml/2006/main" count="91" uniqueCount="91">
  <si>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Maine Academy of Gymnastics — 2023 Revenue by Service Line</t>
  </si>
  <si>
    <t xml:space="preserve">Source: Jackrabbit Revenue Summary, 1/1/2023 - 12/31/2023, run 28 July 2026. Reconciles to the report's stated total.</t>
  </si>
  <si>
    <t xml:space="preserve">Service Row</t>
  </si>
  <si>
    <t xml:space="preserve">Net Revenue 2023</t>
  </si>
  <si>
    <t xml:space="preserve">% of Total</t>
  </si>
  <si>
    <t xml:space="preserve">Discounts Given</t>
  </si>
  <si>
    <t xml:space="preserve">Discount Rate</t>
  </si>
  <si>
    <t xml:space="preserve">Where it comes from</t>
  </si>
  <si>
    <t xml:space="preserve">Recreational Tuition -- Preschool (The Jungle)</t>
  </si>
  <si>
    <t xml:space="preserve">Cat2 Pre-School $198,842.10 + Parent-Child $144,493.16</t>
  </si>
  <si>
    <t xml:space="preserve">Recreational Tuition -- Girls Wings</t>
  </si>
  <si>
    <t xml:space="preserve">Cat2 Rec Girls $748,653.02 less $162.00 credits</t>
  </si>
  <si>
    <t xml:space="preserve">Recreational Tuition -- Boys Wings</t>
  </si>
  <si>
    <t xml:space="preserve">Cat2 Rec Boys</t>
  </si>
  <si>
    <t xml:space="preserve">Recreational Tuition -- Tumbling</t>
  </si>
  <si>
    <t xml:space="preserve">Cat2 Tumble (Combined) less $32.00 credits</t>
  </si>
  <si>
    <t xml:space="preserve">Competitive -- Pre-Team</t>
  </si>
  <si>
    <t xml:space="preserve">Cat2 Pre-Team (Invite Only) - a real category, not rounding error</t>
  </si>
  <si>
    <t xml:space="preserve">Competitive -- Team Tuition</t>
  </si>
  <si>
    <t xml:space="preserve">Sum of the 10 Team billing-group activities in Cat1 Team</t>
  </si>
  <si>
    <t xml:space="preserve">Competitive -- Meet Entry Fees</t>
  </si>
  <si>
    <t xml:space="preserve">Cat1 Team residual: meet entries, AF Cup, unnamed activity. LARGELY PASS-THROUGH</t>
  </si>
  <si>
    <t xml:space="preserve">Ancillary -- Annual Membership Fees</t>
  </si>
  <si>
    <t xml:space="preserve">Cat1 Annual Membership</t>
  </si>
  <si>
    <t xml:space="preserve">Ancillary -- Birthday Parties</t>
  </si>
  <si>
    <t xml:space="preserve">Cat1 Birthday Parties - NOT on the website navigation</t>
  </si>
  <si>
    <t xml:space="preserve">Ancillary -- Open Gym</t>
  </si>
  <si>
    <t xml:space="preserve">Cat1 Open Gym</t>
  </si>
  <si>
    <t xml:space="preserve">Ancillary -- Pro Shop</t>
  </si>
  <si>
    <t xml:space="preserve">Cat1 ProShop</t>
  </si>
  <si>
    <t xml:space="preserve">Ancillary -- Private Lessons</t>
  </si>
  <si>
    <t xml:space="preserve">Cat1 Private Lessons</t>
  </si>
  <si>
    <t xml:space="preserve">Ancillary -- Gift Certificates</t>
  </si>
  <si>
    <t xml:space="preserve">Cat1 Gift Certificate</t>
  </si>
  <si>
    <t xml:space="preserve">Unclassified -- Rec, no Cat2</t>
  </si>
  <si>
    <t xml:space="preserve">Cat1 Recreational with blank Cat2 - NEEDS INVESTIGATION</t>
  </si>
  <si>
    <t xml:space="preserve">EXCLUDE -- Staff</t>
  </si>
  <si>
    <t xml:space="preserve">Cat1 Staff - not customer revenue</t>
  </si>
  <si>
    <t xml:space="preserve">EXCLUDE -- Unapplied Payments</t>
  </si>
  <si>
    <t xml:space="preserve">Cat1 --Unapplied Payments--</t>
  </si>
  <si>
    <t xml:space="preserve">TOTAL — reconciles to report</t>
  </si>
  <si>
    <t xml:space="preserve">RECONCILIATION CHECK</t>
  </si>
  <si>
    <t xml:space="preserve">Report stated total revenue</t>
  </si>
  <si>
    <t xml:space="preserve">Sum of rows above</t>
  </si>
  <si>
    <t xml:space="preserve">Variance (must be zero)</t>
  </si>
  <si>
    <t xml:space="preserve">MATERIAL FINDINGS</t>
  </si>
  <si>
    <t xml:space="preserve">Four revenue lines exist that the website never mentions: Birthday Parties $45,767 · Pro Shop $28,032 ·</t>
  </si>
  <si>
    <t xml:space="preserve">Private Lessons $3,816 · Gift Certificates $310. Together $77,925, or 3.9% of revenue. Birthday Parties alone</t>
  </si>
  <si>
    <t xml:space="preserve">is larger than Open Gym, yet there is no Parties page in the site navigation.</t>
  </si>
  <si>
    <t xml:space="preserve">Pre-Team is a real category worth $26,248. I previously recommended dropping this row based on the 2026</t>
  </si>
  <si>
    <t xml:space="preserve">class list showing only two classes. That was wrong — 'Pre-Team (Invite Only)' is its own Cat2 with</t>
  </si>
  <si>
    <t xml:space="preserve">meaningful revenue. The row stays.</t>
  </si>
  <si>
    <t xml:space="preserve">Meet entry fees are roughly $140k inside Cat1 Team and are largely PASS-THROUGH to host gyms. Leaving them</t>
  </si>
  <si>
    <t xml:space="preserve">blended into team revenue would make team gross margin meaningless. Split out as its own row and expect a</t>
  </si>
  <si>
    <t xml:space="preserve">near-zero margin on it. Note American Flyers Cup 2023 + 2024 total $9,445 and DO sit on the gym's books.</t>
  </si>
  <si>
    <t xml:space="preserve">Discounts total $128,402 — 6.0% of gross. Recreational runs 7.5%, Team 4.0%. Material enough that gross</t>
  </si>
  <si>
    <t xml:space="preserve">versus net revenue must be stated explicitly in any comparison.</t>
  </si>
  <si>
    <t xml:space="preserve">$21,744 of Recreational revenue has NO Cat2 and cannot be attributed to a service. 1.1% of total.</t>
  </si>
  <si>
    <t xml:space="preserve">Almost all of it sits under a single '--No Activity Name--' line. Needs investigation before the trend is trusted.</t>
  </si>
  <si>
    <t xml:space="preserve">THIS REPORT DOES NOT GIVE TRANSACTION COUNTS.</t>
  </si>
  <si>
    <t xml:space="preserve">The Enrollment column reads 0 on every line. For the '# Sales Transactions' and 'Avg. Sales Transaction Value'</t>
  </si>
  <si>
    <t xml:space="preserve">columns you still need the Transaction Listing or Transaction Summary report for the same date range.</t>
  </si>
  <si>
    <t xml:space="preserve">Summer Intensives cannot be isolated from this report — they sit inside the Rec Cat2 values. Separating them</t>
  </si>
  <si>
    <t xml:space="preserve">requires filtering by session, which the Revenue Summary does not expose. Consider dropping that row.</t>
  </si>
  <si>
    <t xml:space="preserve">Cat1 Team — splitting tuition from meet fees</t>
  </si>
  <si>
    <t xml:space="preserve">Total Cat1 Team revenue 2023: $517,731.45</t>
  </si>
  <si>
    <t xml:space="preserve">Billing-group activity (tuition)</t>
  </si>
  <si>
    <t xml:space="preserve">Net Revenue</t>
  </si>
  <si>
    <t xml:space="preserve">Discount</t>
  </si>
  <si>
    <t xml:space="preserve">Team Billing Group 12 hrs</t>
  </si>
  <si>
    <t xml:space="preserve">Team Billing Group 16 hrs</t>
  </si>
  <si>
    <t xml:space="preserve">Team Group 12 hrs</t>
  </si>
  <si>
    <t xml:space="preserve">Team Billing Group 20 hrs</t>
  </si>
  <si>
    <t xml:space="preserve">Team Billing 10 hrs</t>
  </si>
  <si>
    <t xml:space="preserve">Team Billing Group 6 hrs</t>
  </si>
  <si>
    <t xml:space="preserve">Team Group 16 hrs</t>
  </si>
  <si>
    <t xml:space="preserve">Team Group 6 hrs</t>
  </si>
  <si>
    <t xml:space="preserve">Team Group 20 hrs</t>
  </si>
  <si>
    <t xml:space="preserve">Team 24-25 Billing Group 16hrs</t>
  </si>
  <si>
    <t xml:space="preserve">Team tuition subtotal</t>
  </si>
  <si>
    <t xml:space="preserve">Cat1 Team total (from report)</t>
  </si>
  <si>
    <t xml:space="preserve">Less team tuition</t>
  </si>
  <si>
    <t xml:space="preserve">Meet entry fees &amp; other (residual)</t>
  </si>
  <si>
    <t xml:space="preserve">What sits in the residual</t>
  </si>
  <si>
    <t xml:space="preserve">Meet entry fees collected on behalf of host gyms — Interstate Flipin $12,280 · Commonwealth Cup 2024 $10,562 ·</t>
  </si>
  <si>
    <t xml:space="preserve">All American Challenge 2024 $9,969 · NGUNQ $9,940 · Palmetto $7,050 · Rhode Island $14,468 across editions ·</t>
  </si>
  <si>
    <t xml:space="preserve">Maine State Clinic $4,060 · Mens Regionals $2,101, plus roughly twenty smaller meets.</t>
  </si>
  <si>
    <t xml:space="preserve">American Flyers Cup 2023 $43.75 and 2024 $9,401.53 — the gym's own hosted meet, on the gym's books.</t>
  </si>
  <si>
    <t xml:space="preserve">An unnamed activity line of $30,774.29 that needs identifying.</t>
  </si>
  <si>
    <t xml:space="preserve">Treat meet fees as pass-through: money in, money out to host gyms. Near-zero gross margin. If they stay</t>
  </si>
  <si>
    <t xml:space="preserve">blended into team revenue, team gross margin will read far better than it 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</si>
</sst>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D479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D6DEF5"/>
        <bgColor rgb="FFDCE3F2"/>
      </patternFill>
    </fill>
    <fill>
      <patternFill patternType="solid">
        <fgColor rgb="FFFFFFFF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D9D9D9"/>
        <bgColor rgb="FFD6DEF5"/>
      </patternFill>
    </fill>
    <fill>
      <patternFill patternType="solid">
        <fgColor rgb="FFB9C4DC"/>
        <bgColor rgb="FFC9D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D9D9D9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62"/>
  </cols>
  <sheetData>
    <row r="1" customFormat="false" ht="18.5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23.85" hidden="false" customHeight="false" outlineLevel="0" collapsed="false">
      <c r="A4" s="1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4" t="s">
        <v>7</v>
      </c>
      <c r="H4" s="1"/>
      <c r="I4" s="1"/>
    </row>
    <row r="5" customFormat="false" ht="15" hidden="false" customHeight="false" outlineLevel="0" collapsed="false">
      <c r="A5" s="1"/>
      <c r="B5" s="6" t="s">
        <v>8</v>
      </c>
      <c r="C5" s="7" t="n">
        <v>343335.26</v>
      </c>
      <c r="D5" s="8" t="n">
        <f aca="false">IFERROR(C5/$C$21,0)</f>
        <v>0.17198662046444</v>
      </c>
      <c r="E5" s="7" t="n">
        <v>31310.99</v>
      </c>
      <c r="F5" s="8" t="n">
        <f aca="false">IFERROR(E5/(C5+E5),0)</f>
        <v>0.083574812239546</v>
      </c>
      <c r="G5" s="9" t="s">
        <v>9</v>
      </c>
      <c r="H5" s="1"/>
      <c r="I5" s="1"/>
    </row>
    <row r="6" customFormat="false" ht="15" hidden="false" customHeight="false" outlineLevel="0" collapsed="false">
      <c r="A6" s="1"/>
      <c r="B6" s="6" t="s">
        <v>10</v>
      </c>
      <c r="C6" s="7" t="n">
        <v>748491.02</v>
      </c>
      <c r="D6" s="8" t="n">
        <f aca="false">IFERROR(C6/$C$21,0)</f>
        <v>0.374940927936681</v>
      </c>
      <c r="E6" s="7" t="n">
        <v>51277.5</v>
      </c>
      <c r="F6" s="8" t="n">
        <f aca="false">IFERROR(E6/(C6+E6),0)</f>
        <v>0.0641154267987442</v>
      </c>
      <c r="G6" s="9" t="s">
        <v>11</v>
      </c>
      <c r="H6" s="1"/>
      <c r="I6" s="1"/>
    </row>
    <row r="7" customFormat="false" ht="15" hidden="false" customHeight="false" outlineLevel="0" collapsed="false">
      <c r="A7" s="1"/>
      <c r="B7" s="6" t="s">
        <v>12</v>
      </c>
      <c r="C7" s="7" t="n">
        <v>86323.49</v>
      </c>
      <c r="D7" s="8" t="n">
        <f aca="false">IFERROR(C7/$C$21,0)</f>
        <v>0.0432419475698357</v>
      </c>
      <c r="E7" s="7" t="n">
        <v>9521.98</v>
      </c>
      <c r="F7" s="8" t="n">
        <f aca="false">IFERROR(E7/(C7+E7),0)</f>
        <v>0.099347209628165</v>
      </c>
      <c r="G7" s="9" t="s">
        <v>13</v>
      </c>
      <c r="H7" s="1"/>
      <c r="I7" s="1"/>
    </row>
    <row r="8" customFormat="false" ht="15" hidden="false" customHeight="false" outlineLevel="0" collapsed="false">
      <c r="A8" s="1"/>
      <c r="B8" s="6" t="s">
        <v>14</v>
      </c>
      <c r="C8" s="7" t="n">
        <v>83307.09</v>
      </c>
      <c r="D8" s="8" t="n">
        <f aca="false">IFERROR(C8/$C$21,0)</f>
        <v>0.0417309450530277</v>
      </c>
      <c r="E8" s="7" t="n">
        <v>10038.11</v>
      </c>
      <c r="F8" s="8" t="n">
        <f aca="false">IFERROR(E8/(C8+E8),0)</f>
        <v>0.107537505945673</v>
      </c>
      <c r="G8" s="9" t="s">
        <v>15</v>
      </c>
      <c r="H8" s="1"/>
      <c r="I8" s="1"/>
    </row>
    <row r="9" customFormat="false" ht="15" hidden="false" customHeight="false" outlineLevel="0" collapsed="false">
      <c r="A9" s="1"/>
      <c r="B9" s="6" t="s">
        <v>16</v>
      </c>
      <c r="C9" s="7" t="n">
        <v>26248.25</v>
      </c>
      <c r="D9" s="8" t="n">
        <f aca="false">IFERROR(C9/$C$21,0)</f>
        <v>0.0131485120712791</v>
      </c>
      <c r="E9" s="7" t="n">
        <v>1947.05</v>
      </c>
      <c r="F9" s="8" t="n">
        <f aca="false">IFERROR(E9/(C9+E9),0)</f>
        <v>0.0690558355470593</v>
      </c>
      <c r="G9" s="9" t="s">
        <v>17</v>
      </c>
      <c r="H9" s="1"/>
      <c r="I9" s="1"/>
    </row>
    <row r="10" customFormat="false" ht="15" hidden="false" customHeight="false" outlineLevel="0" collapsed="false">
      <c r="A10" s="1"/>
      <c r="B10" s="6" t="s">
        <v>18</v>
      </c>
      <c r="C10" s="7" t="n">
        <v>377627.07</v>
      </c>
      <c r="D10" s="8" t="n">
        <f aca="false">IFERROR(C10/$C$21,0)</f>
        <v>0.189164385752831</v>
      </c>
      <c r="E10" s="7" t="n">
        <v>21344.46</v>
      </c>
      <c r="F10" s="8" t="n">
        <f aca="false">IFERROR(E10/(C10+E10),0)</f>
        <v>0.0534987045316241</v>
      </c>
      <c r="G10" s="9" t="s">
        <v>19</v>
      </c>
      <c r="H10" s="1"/>
      <c r="I10" s="1"/>
    </row>
    <row r="11" customFormat="false" ht="15" hidden="false" customHeight="false" outlineLevel="0" collapsed="false">
      <c r="A11" s="1"/>
      <c r="B11" s="6" t="s">
        <v>20</v>
      </c>
      <c r="C11" s="7" t="n">
        <v>140104.38</v>
      </c>
      <c r="D11" s="8" t="n">
        <f aca="false">IFERROR(C11/$C$21,0)</f>
        <v>0.0701823600304429</v>
      </c>
      <c r="E11" s="7" t="n">
        <v>924.6</v>
      </c>
      <c r="F11" s="8" t="n">
        <f aca="false">IFERROR(E11/(C11+E11),0)</f>
        <v>0.00655609932086299</v>
      </c>
      <c r="G11" s="9" t="s">
        <v>21</v>
      </c>
      <c r="H11" s="1"/>
      <c r="I11" s="1"/>
    </row>
    <row r="12" customFormat="false" ht="15" hidden="false" customHeight="false" outlineLevel="0" collapsed="false">
      <c r="A12" s="1"/>
      <c r="B12" s="6" t="s">
        <v>22</v>
      </c>
      <c r="C12" s="7" t="n">
        <v>58293.5</v>
      </c>
      <c r="D12" s="8" t="n">
        <f aca="false">IFERROR(C12/$C$21,0)</f>
        <v>0.0292009100959914</v>
      </c>
      <c r="E12" s="7" t="n">
        <v>0</v>
      </c>
      <c r="F12" s="8" t="n">
        <f aca="false">IFERROR(E12/(C12+E12),0)</f>
        <v>0</v>
      </c>
      <c r="G12" s="9" t="s">
        <v>23</v>
      </c>
      <c r="H12" s="1"/>
      <c r="I12" s="1"/>
    </row>
    <row r="13" customFormat="false" ht="15" hidden="false" customHeight="false" outlineLevel="0" collapsed="false">
      <c r="A13" s="1"/>
      <c r="B13" s="6" t="s">
        <v>24</v>
      </c>
      <c r="C13" s="7" t="n">
        <v>45767.05</v>
      </c>
      <c r="D13" s="8" t="n">
        <f aca="false">IFERROR(C13/$C$21,0)</f>
        <v>0.022926046856146</v>
      </c>
      <c r="E13" s="7" t="n">
        <v>0</v>
      </c>
      <c r="F13" s="8" t="n">
        <f aca="false">IFERROR(E13/(C13+E13),0)</f>
        <v>0</v>
      </c>
      <c r="G13" s="9" t="s">
        <v>25</v>
      </c>
      <c r="H13" s="1"/>
      <c r="I13" s="1"/>
    </row>
    <row r="14" customFormat="false" ht="15" hidden="false" customHeight="false" outlineLevel="0" collapsed="false">
      <c r="A14" s="1"/>
      <c r="B14" s="6" t="s">
        <v>26</v>
      </c>
      <c r="C14" s="7" t="n">
        <v>30059.5</v>
      </c>
      <c r="D14" s="8" t="n">
        <f aca="false">IFERROR(C14/$C$21,0)</f>
        <v>0.0150576780778381</v>
      </c>
      <c r="E14" s="7" t="n">
        <v>30</v>
      </c>
      <c r="F14" s="8" t="n">
        <f aca="false">IFERROR(E14/(C14+E14),0)</f>
        <v>0.000997025540470928</v>
      </c>
      <c r="G14" s="9" t="s">
        <v>27</v>
      </c>
      <c r="H14" s="1"/>
      <c r="I14" s="1"/>
    </row>
    <row r="15" customFormat="false" ht="15" hidden="false" customHeight="false" outlineLevel="0" collapsed="false">
      <c r="A15" s="1"/>
      <c r="B15" s="6" t="s">
        <v>28</v>
      </c>
      <c r="C15" s="7" t="n">
        <v>28031.65</v>
      </c>
      <c r="D15" s="8" t="n">
        <f aca="false">IFERROR(C15/$C$21,0)</f>
        <v>0.014041869016139</v>
      </c>
      <c r="E15" s="7" t="n">
        <v>321.31</v>
      </c>
      <c r="F15" s="8" t="n">
        <f aca="false">IFERROR(E15/(C15+E15),0)</f>
        <v>0.0113325028497906</v>
      </c>
      <c r="G15" s="9" t="s">
        <v>29</v>
      </c>
      <c r="H15" s="1"/>
      <c r="I15" s="1"/>
    </row>
    <row r="16" customFormat="false" ht="15" hidden="false" customHeight="false" outlineLevel="0" collapsed="false">
      <c r="A16" s="1"/>
      <c r="B16" s="6" t="s">
        <v>30</v>
      </c>
      <c r="C16" s="7" t="n">
        <v>3815.71</v>
      </c>
      <c r="D16" s="8" t="n">
        <f aca="false">IFERROR(C16/$C$21,0)</f>
        <v>0.00191140015031479</v>
      </c>
      <c r="E16" s="7" t="n">
        <v>0</v>
      </c>
      <c r="F16" s="8" t="n">
        <f aca="false">IFERROR(E16/(C16+E16),0)</f>
        <v>0</v>
      </c>
      <c r="G16" s="9" t="s">
        <v>31</v>
      </c>
      <c r="H16" s="1"/>
      <c r="I16" s="1"/>
    </row>
    <row r="17" customFormat="false" ht="15" hidden="false" customHeight="false" outlineLevel="0" collapsed="false">
      <c r="A17" s="1"/>
      <c r="B17" s="6" t="s">
        <v>32</v>
      </c>
      <c r="C17" s="7" t="n">
        <v>310</v>
      </c>
      <c r="D17" s="8" t="n">
        <f aca="false">IFERROR(C17/$C$21,0)</f>
        <v>0.000155288018900175</v>
      </c>
      <c r="E17" s="7" t="n">
        <v>0</v>
      </c>
      <c r="F17" s="8" t="n">
        <f aca="false">IFERROR(E17/(C17+E17),0)</f>
        <v>0</v>
      </c>
      <c r="G17" s="9" t="s">
        <v>33</v>
      </c>
      <c r="H17" s="1"/>
      <c r="I17" s="1"/>
    </row>
    <row r="18" customFormat="false" ht="15" hidden="false" customHeight="false" outlineLevel="0" collapsed="false">
      <c r="A18" s="1"/>
      <c r="B18" s="10" t="s">
        <v>34</v>
      </c>
      <c r="C18" s="7" t="n">
        <v>21744.45</v>
      </c>
      <c r="D18" s="8" t="n">
        <f aca="false">IFERROR(C18/$C$21,0)</f>
        <v>0.0108924276212062</v>
      </c>
      <c r="E18" s="7" t="n">
        <v>1686.4</v>
      </c>
      <c r="F18" s="8" t="n">
        <f aca="false">IFERROR(E18/(C18+E18),0)</f>
        <v>0.0719734879443127</v>
      </c>
      <c r="G18" s="9" t="s">
        <v>35</v>
      </c>
      <c r="H18" s="1"/>
      <c r="I18" s="1"/>
    </row>
    <row r="19" customFormat="false" ht="15" hidden="false" customHeight="false" outlineLevel="0" collapsed="false">
      <c r="A19" s="1"/>
      <c r="B19" s="11" t="s">
        <v>36</v>
      </c>
      <c r="C19" s="7" t="n">
        <v>2660.1</v>
      </c>
      <c r="D19" s="8" t="n">
        <f aca="false">IFERROR(C19/$C$21,0)</f>
        <v>0.00133252148089147</v>
      </c>
      <c r="E19" s="7" t="n">
        <v>0</v>
      </c>
      <c r="F19" s="8" t="n">
        <f aca="false">IFERROR(E19/(C19+E19),0)</f>
        <v>0</v>
      </c>
      <c r="G19" s="9" t="s">
        <v>37</v>
      </c>
      <c r="H19" s="1"/>
      <c r="I19" s="1"/>
    </row>
    <row r="20" customFormat="false" ht="15" hidden="false" customHeight="false" outlineLevel="0" collapsed="false">
      <c r="A20" s="1"/>
      <c r="B20" s="11" t="s">
        <v>38</v>
      </c>
      <c r="C20" s="7" t="n">
        <v>172</v>
      </c>
      <c r="D20" s="8" t="n">
        <f aca="false">IFERROR(C20/$C$21,0)</f>
        <v>8.61598040349358E-005</v>
      </c>
      <c r="E20" s="7" t="n">
        <v>0</v>
      </c>
      <c r="F20" s="8" t="n">
        <f aca="false">IFERROR(E20/(C20+E20),0)</f>
        <v>0</v>
      </c>
      <c r="G20" s="9" t="s">
        <v>39</v>
      </c>
      <c r="H20" s="1"/>
      <c r="I20" s="1"/>
    </row>
    <row r="21" customFormat="false" ht="15" hidden="false" customHeight="false" outlineLevel="0" collapsed="false">
      <c r="A21" s="1"/>
      <c r="B21" s="12" t="s">
        <v>40</v>
      </c>
      <c r="C21" s="13" t="n">
        <f aca="false">SUM(C5:C20)</f>
        <v>1996290.52</v>
      </c>
      <c r="D21" s="14" t="n">
        <f aca="false">IFERROR(C21/C21,0)</f>
        <v>1</v>
      </c>
      <c r="E21" s="13" t="n">
        <f aca="false">SUM(E5:E20)</f>
        <v>128402.4</v>
      </c>
      <c r="F21" s="14" t="n">
        <f aca="false">IFERROR(E21/(C21+E21),0)</f>
        <v>0.0604333919463524</v>
      </c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5" t="s">
        <v>41</v>
      </c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6" t="s">
        <v>42</v>
      </c>
      <c r="C24" s="17" t="n">
        <v>1996290.52</v>
      </c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6" t="s">
        <v>43</v>
      </c>
      <c r="C25" s="17" t="n">
        <f aca="false">C21</f>
        <v>1996290.52</v>
      </c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6" t="s">
        <v>44</v>
      </c>
      <c r="C26" s="17" t="n">
        <f aca="false">C21-C24</f>
        <v>0</v>
      </c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8" t="s">
        <v>45</v>
      </c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 t="s">
        <v>46</v>
      </c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 t="s">
        <v>47</v>
      </c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 t="s">
        <v>48</v>
      </c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 t="s">
        <v>49</v>
      </c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 t="s">
        <v>50</v>
      </c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 t="s">
        <v>51</v>
      </c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 t="s">
        <v>52</v>
      </c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 t="s">
        <v>53</v>
      </c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 t="s">
        <v>54</v>
      </c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 t="s">
        <v>55</v>
      </c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 t="s">
        <v>56</v>
      </c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9" t="s">
        <v>57</v>
      </c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 t="s">
        <v>58</v>
      </c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B47" s="20" t="s">
        <v>59</v>
      </c>
    </row>
    <row r="48" customFormat="false" ht="15" hidden="false" customHeight="false" outlineLevel="0" collapsed="false">
      <c r="B48" s="21" t="s">
        <v>60</v>
      </c>
    </row>
    <row r="49" customFormat="false" ht="15" hidden="false" customHeight="false" outlineLevel="0" collapsed="false">
      <c r="B49" s="21" t="s">
        <v>61</v>
      </c>
    </row>
    <row r="50" customFormat="false" ht="15" hidden="false" customHeight="false" outlineLevel="0" collapsed="false">
      <c r="B50" s="21"/>
    </row>
    <row r="51" customFormat="false" ht="15" hidden="false" customHeight="false" outlineLevel="0" collapsed="false">
      <c r="B51" s="21" t="s">
        <v>62</v>
      </c>
    </row>
    <row r="52" customFormat="false" ht="15" hidden="false" customHeight="false" outlineLevel="0" collapsed="false">
      <c r="B52" s="2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/>
      <c r="B1" s="22" t="s">
        <v>64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" t="s">
        <v>65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4" t="s">
        <v>66</v>
      </c>
      <c r="C4" s="5" t="s">
        <v>67</v>
      </c>
      <c r="D4" s="5" t="s">
        <v>68</v>
      </c>
      <c r="E4" s="1"/>
      <c r="F4" s="1"/>
    </row>
    <row r="5" customFormat="false" ht="15" hidden="false" customHeight="false" outlineLevel="0" collapsed="false">
      <c r="A5" s="1"/>
      <c r="B5" s="23" t="s">
        <v>69</v>
      </c>
      <c r="C5" s="7" t="n">
        <v>110220.74</v>
      </c>
      <c r="D5" s="7" t="n">
        <v>6871.33</v>
      </c>
      <c r="E5" s="1"/>
      <c r="F5" s="1"/>
    </row>
    <row r="6" customFormat="false" ht="15" hidden="false" customHeight="false" outlineLevel="0" collapsed="false">
      <c r="A6" s="1"/>
      <c r="B6" s="23" t="s">
        <v>70</v>
      </c>
      <c r="C6" s="7" t="n">
        <v>75080.37</v>
      </c>
      <c r="D6" s="7" t="n">
        <v>6014</v>
      </c>
      <c r="E6" s="1"/>
      <c r="F6" s="1"/>
    </row>
    <row r="7" customFormat="false" ht="15" hidden="false" customHeight="false" outlineLevel="0" collapsed="false">
      <c r="A7" s="1"/>
      <c r="B7" s="23" t="s">
        <v>71</v>
      </c>
      <c r="C7" s="7" t="n">
        <v>56482.23</v>
      </c>
      <c r="D7" s="7" t="n">
        <v>569.33</v>
      </c>
      <c r="E7" s="1"/>
      <c r="F7" s="1"/>
    </row>
    <row r="8" customFormat="false" ht="15" hidden="false" customHeight="false" outlineLevel="0" collapsed="false">
      <c r="A8" s="1"/>
      <c r="B8" s="23" t="s">
        <v>72</v>
      </c>
      <c r="C8" s="7" t="n">
        <v>44909.8</v>
      </c>
      <c r="D8" s="7" t="n">
        <v>5104.2</v>
      </c>
      <c r="E8" s="1"/>
      <c r="F8" s="1"/>
    </row>
    <row r="9" customFormat="false" ht="15" hidden="false" customHeight="false" outlineLevel="0" collapsed="false">
      <c r="A9" s="1"/>
      <c r="B9" s="23" t="s">
        <v>73</v>
      </c>
      <c r="C9" s="7" t="n">
        <v>30033.53</v>
      </c>
      <c r="D9" s="7" t="n">
        <v>657.4</v>
      </c>
      <c r="E9" s="1"/>
      <c r="F9" s="1"/>
    </row>
    <row r="10" customFormat="false" ht="15" hidden="false" customHeight="false" outlineLevel="0" collapsed="false">
      <c r="A10" s="1"/>
      <c r="B10" s="23" t="s">
        <v>74</v>
      </c>
      <c r="C10" s="7" t="n">
        <v>29905</v>
      </c>
      <c r="D10" s="7" t="n">
        <v>2080</v>
      </c>
      <c r="E10" s="1"/>
      <c r="F10" s="1"/>
    </row>
    <row r="11" customFormat="false" ht="15" hidden="false" customHeight="false" outlineLevel="0" collapsed="false">
      <c r="A11" s="1"/>
      <c r="B11" s="23" t="s">
        <v>75</v>
      </c>
      <c r="C11" s="7" t="n">
        <v>19306.19</v>
      </c>
      <c r="D11" s="7" t="n">
        <v>618.2</v>
      </c>
      <c r="E11" s="1"/>
      <c r="F11" s="1"/>
    </row>
    <row r="12" customFormat="false" ht="15" hidden="false" customHeight="false" outlineLevel="0" collapsed="false">
      <c r="A12" s="1"/>
      <c r="B12" s="23" t="s">
        <v>76</v>
      </c>
      <c r="C12" s="7" t="n">
        <v>8969.73</v>
      </c>
      <c r="D12" s="7" t="n">
        <v>0</v>
      </c>
      <c r="E12" s="1"/>
      <c r="F12" s="1"/>
    </row>
    <row r="13" customFormat="false" ht="15" hidden="false" customHeight="false" outlineLevel="0" collapsed="false">
      <c r="A13" s="1"/>
      <c r="B13" s="23" t="s">
        <v>77</v>
      </c>
      <c r="C13" s="7" t="n">
        <v>2635</v>
      </c>
      <c r="D13" s="7" t="n">
        <v>0</v>
      </c>
      <c r="E13" s="1"/>
      <c r="F13" s="1"/>
    </row>
    <row r="14" customFormat="false" ht="15" hidden="false" customHeight="false" outlineLevel="0" collapsed="false">
      <c r="A14" s="1"/>
      <c r="B14" s="23" t="s">
        <v>78</v>
      </c>
      <c r="C14" s="7" t="n">
        <v>84.48</v>
      </c>
      <c r="D14" s="7" t="n">
        <v>0</v>
      </c>
      <c r="E14" s="1"/>
      <c r="F14" s="1"/>
    </row>
    <row r="15" customFormat="false" ht="15" hidden="false" customHeight="false" outlineLevel="0" collapsed="false">
      <c r="A15" s="1"/>
      <c r="B15" s="12" t="s">
        <v>79</v>
      </c>
      <c r="C15" s="13" t="n">
        <f aca="false">SUM(C5:C14)</f>
        <v>377627.07</v>
      </c>
      <c r="D15" s="13" t="n">
        <f aca="false">SUM(D5:D14)</f>
        <v>21914.46</v>
      </c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16" t="s">
        <v>80</v>
      </c>
      <c r="C17" s="17" t="n">
        <v>517731.45</v>
      </c>
      <c r="D17" s="1"/>
      <c r="E17" s="1"/>
      <c r="F17" s="1"/>
    </row>
    <row r="18" customFormat="false" ht="15" hidden="false" customHeight="false" outlineLevel="0" collapsed="false">
      <c r="A18" s="1"/>
      <c r="B18" s="16" t="s">
        <v>81</v>
      </c>
      <c r="C18" s="17" t="n">
        <f aca="false">-C15</f>
        <v>-377627.07</v>
      </c>
      <c r="D18" s="1"/>
      <c r="E18" s="1"/>
      <c r="F18" s="1"/>
    </row>
    <row r="19" customFormat="false" ht="15" hidden="false" customHeight="false" outlineLevel="0" collapsed="false">
      <c r="A19" s="1"/>
      <c r="B19" s="16" t="s">
        <v>82</v>
      </c>
      <c r="C19" s="17" t="n">
        <f aca="false">C17+C18</f>
        <v>140104.38</v>
      </c>
      <c r="D19" s="1"/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15" t="s">
        <v>83</v>
      </c>
      <c r="C21" s="1"/>
      <c r="D21" s="1"/>
      <c r="E21" s="1"/>
      <c r="F21" s="1"/>
    </row>
    <row r="22" customFormat="false" ht="15" hidden="false" customHeight="false" outlineLevel="0" collapsed="false">
      <c r="A22" s="1"/>
      <c r="B22" s="1" t="s">
        <v>84</v>
      </c>
      <c r="C22" s="1"/>
      <c r="D22" s="1"/>
      <c r="E22" s="1"/>
      <c r="F22" s="1"/>
    </row>
    <row r="23" customFormat="false" ht="15" hidden="false" customHeight="false" outlineLevel="0" collapsed="false">
      <c r="A23" s="1"/>
      <c r="B23" s="1" t="s">
        <v>85</v>
      </c>
      <c r="C23" s="1"/>
      <c r="D23" s="1"/>
      <c r="E23" s="1"/>
      <c r="F23" s="1"/>
    </row>
    <row r="24" customFormat="false" ht="15" hidden="false" customHeight="false" outlineLevel="0" collapsed="false">
      <c r="A24" s="1"/>
      <c r="B24" s="1" t="s">
        <v>86</v>
      </c>
      <c r="C24" s="1"/>
      <c r="D24" s="1"/>
      <c r="E24" s="1"/>
      <c r="F24" s="1"/>
    </row>
    <row r="25" customFormat="false" ht="15" hidden="false" customHeight="false" outlineLevel="0" collapsed="false">
      <c r="A25" s="1"/>
      <c r="B25" s="1" t="s">
        <v>87</v>
      </c>
      <c r="C25" s="1"/>
      <c r="D25" s="1"/>
      <c r="E25" s="1"/>
      <c r="F25" s="1"/>
    </row>
    <row r="26" customFormat="false" ht="15" hidden="false" customHeight="false" outlineLevel="0" collapsed="false">
      <c r="A26" s="1"/>
      <c r="B26" s="1" t="s">
        <v>88</v>
      </c>
      <c r="C26" s="1"/>
      <c r="D26" s="1"/>
      <c r="E26" s="1"/>
      <c r="F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</row>
    <row r="28" customFormat="false" ht="15" hidden="false" customHeight="false" outlineLevel="0" collapsed="false">
      <c r="A28" s="1"/>
      <c r="B28" s="19" t="s">
        <v>89</v>
      </c>
      <c r="C28" s="1"/>
      <c r="D28" s="1"/>
      <c r="E28" s="1"/>
      <c r="F28" s="1"/>
    </row>
    <row r="29" customFormat="false" ht="15" hidden="false" customHeight="false" outlineLevel="0" collapsed="false">
      <c r="A29" s="1"/>
      <c r="B29" s="1" t="s">
        <v>90</v>
      </c>
      <c r="C29" s="1"/>
      <c r="D29" s="1"/>
      <c r="E29" s="1"/>
      <c r="F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2026-07-28T14:35:03Z</dcterms:created>
  <dc:creator>openpyxl</dc:creator>
  <dc:description/>
  <dc:language>en-US</dc:language>
  <cp:lastModifiedBy/>
  <dcterms:modified xsi:type="dcterms:W3CDTF">2026-07-28T14:35:03Z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