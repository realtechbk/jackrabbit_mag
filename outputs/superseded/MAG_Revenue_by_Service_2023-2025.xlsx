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-Year by Service" sheetId="1" state="visible" r:id="rId3"/>
    <sheet name="Findings" sheetId="2" state="visible" r:id="rId4"/>
    <sheet name="Category Drif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<sst xmlns="http://schemas.openxmlformats.org/spreadsheetml/2006/main" count="156" uniqueCount="146">
  <si>
    <t xml:space="preserve">Maine Academy of Gymnastics — Revenue by Service Line, 2023-2025</t>
  </si>
  <si>
    <t xml:space="preserve">Source: Jackrabbit Revenue Summary, one report per calendar year, all run 28 July 2026. Every year reconciles to its stated total with zero variance.</t>
  </si>
  <si>
    <t xml:space="preserve">Service Line</t>
  </si>
  <si>
    <t xml:space="preserve">2023</t>
  </si>
  <si>
    <t xml:space="preserve">2024</t>
  </si>
  <si>
    <t xml:space="preserve">2025</t>
  </si>
  <si>
    <t xml:space="preserve">24 vs 23</t>
  </si>
  <si>
    <t xml:space="preserve">25 vs 24</t>
  </si>
  <si>
    <t xml:space="preserve">25 vs 23</t>
  </si>
  <si>
    <t xml:space="preserve">% of 2025</t>
  </si>
  <si>
    <t xml:space="preserve">Note</t>
  </si>
  <si>
    <t xml:space="preserve">Recreational -- Girls Wings</t>
  </si>
  <si>
    <t xml:space="preserve">Cat2 Rec Girls. Includes pre-team girls in 2024-25 (see drift tab).</t>
  </si>
  <si>
    <t xml:space="preserve">Recreational -- Preschool (The Jungle)</t>
  </si>
  <si>
    <t xml:space="preserve">Cat2 Pre-School + Parent-Child.</t>
  </si>
  <si>
    <t xml:space="preserve">Recreational -- Boys Wings</t>
  </si>
  <si>
    <t xml:space="preserve">Cat2 Rec Boys. Flat for three years.</t>
  </si>
  <si>
    <t xml:space="preserve">Recreational -- Tumbling</t>
  </si>
  <si>
    <t xml:space="preserve">Cat2 Tumble (Combined).</t>
  </si>
  <si>
    <t xml:space="preserve">Recreational -- Pre-Team</t>
  </si>
  <si>
    <t xml:space="preserve">Cat2 'Pre-Team (Invite Only)' existed in 2023 ONLY. Folded into Wings rows after.</t>
  </si>
  <si>
    <t xml:space="preserve">Recreational -- Unclassified (no Cat2)</t>
  </si>
  <si>
    <t xml:space="preserve">Cat1 Recreational with blank Cat2. Cannot be attributed to a service.</t>
  </si>
  <si>
    <t xml:space="preserve">Competitive -- Team (tuition + meet fees)</t>
  </si>
  <si>
    <t xml:space="preserve">Cat1 Team. 2023 splits 377,627 tuition / 140,104 meet fees; later years not yet split.</t>
  </si>
  <si>
    <t xml:space="preserve">Ancillary -- Annual Membership Fees</t>
  </si>
  <si>
    <t xml:space="preserve">Cat1 Annual Membership. At $45/student this is a proxy for active student count.</t>
  </si>
  <si>
    <t xml:space="preserve">Ancillary -- Pro Shop</t>
  </si>
  <si>
    <t xml:space="preserve">Cat1 ProShop. Growing steadily.</t>
  </si>
  <si>
    <t xml:space="preserve">Ancillary -- Open Gym</t>
  </si>
  <si>
    <t xml:space="preserve">Cat1 Open Gym.</t>
  </si>
  <si>
    <t xml:space="preserve">Ancillary -- Birthday Parties</t>
  </si>
  <si>
    <t xml:space="preserve">Cat1 Birthday Parties. Wound down to zero — appears discontinued.</t>
  </si>
  <si>
    <t xml:space="preserve">Ancillary -- Private Lessons</t>
  </si>
  <si>
    <t xml:space="preserve">Cat1 Private Lessons. More than doubled.</t>
  </si>
  <si>
    <t xml:space="preserve">Ancillary -- Gift Certificates</t>
  </si>
  <si>
    <t xml:space="preserve">Cat1 Gift Certificate. Gone in 2025.</t>
  </si>
  <si>
    <t xml:space="preserve">Ancillary -- Non-Instructional Time</t>
  </si>
  <si>
    <t xml:space="preserve">New Cat1 in 2025 only.</t>
  </si>
  <si>
    <t xml:space="preserve">Other -- Tumble (stray Cat1)</t>
  </si>
  <si>
    <t xml:space="preserve">New Cat1 'Tumble' in 2025 — a mis-tag, should sit under Recreational.</t>
  </si>
  <si>
    <t xml:space="preserve">EXCLUDE -- Staff</t>
  </si>
  <si>
    <t xml:space="preserve">Cat1 Staff. Not customer revenue.</t>
  </si>
  <si>
    <t xml:space="preserve">EXCLUDE -- Unapplied Payments</t>
  </si>
  <si>
    <t xml:space="preserve">Cat1 --Unapplied Payments--. $11,921 sitting unapplied in 2025 needs clearing.</t>
  </si>
  <si>
    <t xml:space="preserve">TOTAL REVENUE</t>
  </si>
  <si>
    <t xml:space="preserve">RECONCILIATION</t>
  </si>
  <si>
    <t xml:space="preserve">Report stated total</t>
  </si>
  <si>
    <t xml:space="preserve">Variance (must be zero)</t>
  </si>
  <si>
    <t xml:space="preserve">Discounts given (from report)</t>
  </si>
  <si>
    <t xml:space="preserve">Discount rate on gross</t>
  </si>
  <si>
    <t xml:space="preserve">ACTIVE STUDENT PROXY (membership fees / $45)</t>
  </si>
  <si>
    <t xml:space="preserve">Implied active students</t>
  </si>
  <si>
    <t xml:space="preserve">Revenue per active student</t>
  </si>
  <si>
    <t xml:space="preserve">KEY LEGEND</t>
  </si>
  <si>
    <t xml:space="preserve">Blue cells are hardcoded figures taken directly from the Jackrabbit reports. Growth and share columns calculate.</t>
  </si>
  <si>
    <t xml:space="preserve">Purple-shaded rows are discontinued lines or categorisation artefacts, not clean comparatives.</t>
  </si>
  <si>
    <t xml:space="preserve">Grey rows are excluded from any operating view.</t>
  </si>
  <si>
    <t xml:space="preserve">Three-Year Findings</t>
  </si>
  <si>
    <t xml:space="preserve">2023: $1,996,291  ·  2024: $2,297,354 (+15.1%)  ·  2025: $2,241,034 (-2.5%)</t>
  </si>
  <si>
    <t xml:space="preserve">THE HEADLINE</t>
  </si>
  <si>
    <t xml:space="preserve">Revenue grew 15.1% in 2024, then fell 2.5% in 2025. But that small decline hides a much larger one:</t>
  </si>
  <si>
    <t xml:space="preserve">implied active students fell from 1,370 to 1,173 — down 14.4%.</t>
  </si>
  <si>
    <t xml:space="preserve">Revenue held up because price per student rose, not because the business held its customers.</t>
  </si>
  <si>
    <t xml:space="preserve">Revenue per active student: $1,541 (2023) -&gt; $1,677 (2024) -&gt; $1,911 (2025), up 24% in two years.</t>
  </si>
  <si>
    <t xml:space="preserve">1. The 2025 story is price masking volume</t>
  </si>
  <si>
    <t xml:space="preserve">This is the single most important finding. A 2.5% revenue dip reads as a flat year; a 14.4% drop in students</t>
  </si>
  <si>
    <t xml:space="preserve">is a retention problem. The gym raised effective price enough to cover it, which works once and is hard to</t>
  </si>
  <si>
    <t xml:space="preserve">repeat. If enrolment does not recover, 2026 revenue falls unless price rises again.</t>
  </si>
  <si>
    <t xml:space="preserve">Caveat: the student proxy assumes the $45 fee is charged once per active student per year. Verify against an</t>
  </si>
  <si>
    <t xml:space="preserve">Enrollment Snapshot before presenting the figure — it is directionally sound but worth confirming.</t>
  </si>
  <si>
    <t xml:space="preserve">2. Boys Wings has been flat for three straight years</t>
  </si>
  <si>
    <t xml:space="preserve">$86,323 -&gt; $84,554 -&gt; $85,489. Essentially zero movement while girls' revenue grew 30%.</t>
  </si>
  <si>
    <t xml:space="preserve">Combine with the 51.6% fill rate from the current class list and the picture is consistent: the boys'</t>
  </si>
  <si>
    <t xml:space="preserve">programme is subscale and static. Either invest in it or consolidate the classes and free the coach hours.</t>
  </si>
  <si>
    <t xml:space="preserve">3. Girls Wings drove all the growth, then stalled</t>
  </si>
  <si>
    <t xml:space="preserve">$748,491 -&gt; $999,839 (+33.6%) -&gt; $975,278 (-2.5%). 43.5% of 2025 revenue.</t>
  </si>
  <si>
    <t xml:space="preserve">The 2024 surge is where the whole company's growth came from. The 2025 dip mirrors the group total, so</t>
  </si>
  <si>
    <t xml:space="preserve">whatever happened in 2025 happened here first.</t>
  </si>
  <si>
    <t xml:space="preserve">4. Birthday Parties was killed off — a $46k line</t>
  </si>
  <si>
    <t xml:space="preserve">$45,767 (2023) -&gt; $19,038 (2024) -&gt; absent (2025). Gift Certificates went the same way ($310 -&gt; $270 -&gt; 0).</t>
  </si>
  <si>
    <t xml:space="preserve">The magnitudes rule out a rename: the only new 2025 category, 'Non-Instructional time', is $340.</t>
  </si>
  <si>
    <t xml:space="preserve">This was 2.3% of revenue with almost no coach cost attached. Worth asking the client whether this was a</t>
  </si>
  <si>
    <t xml:space="preserve">deliberate exit or drift — and note the website still shows party photographs but has no Parties page.</t>
  </si>
  <si>
    <t xml:space="preserve">5. Private Lessons is the quiet grower</t>
  </si>
  <si>
    <t xml:space="preserve">$3,816 -&gt; $5,645 -&gt; $8,318. Up 118% in two years off a small base.</t>
  </si>
  <si>
    <t xml:space="preserve">One-to-one delivery, premium pricing, no capacity constraint beyond coach time. Given that staffing is the</t>
  </si>
  <si>
    <t xml:space="preserve">stated bottleneck this may not be scalable, but the demand signal is real.</t>
  </si>
  <si>
    <t xml:space="preserve">6. Team is stable and under-analysed</t>
  </si>
  <si>
    <t xml:space="preserve">$517,731 -&gt; $552,486 -&gt; $564,295. Steady low single-digit growth, 25.2% of 2025 revenue.</t>
  </si>
  <si>
    <t xml:space="preserve">But 2023's split showed only $377,627 of that was tuition — $140,104 was meet entry fees, largely</t>
  </si>
  <si>
    <t xml:space="preserve">pass-through to host gyms. The 2024 and 2025 reports need the same split before team margin means anything.</t>
  </si>
  <si>
    <t xml:space="preserve">7. Category drift breaks strict comparability</t>
  </si>
  <si>
    <t xml:space="preserve">Pre-Team (Invite Only) was its own Cat2 in 2023 ($26,248) and disappeared in 2024-25, folding into the</t>
  </si>
  <si>
    <t xml:space="preserve">Wings rows. So Girls Wings growth from 2023 to 2024 is overstated by roughly the pre-team amount.</t>
  </si>
  <si>
    <t xml:space="preserve">A stray Cat1 'Tumble' ($17.80) appeared in 2025 and should sit under Recreational.</t>
  </si>
  <si>
    <t xml:space="preserve">Unclassified Recreational revenue with no Cat2 runs $19,637-$27,885 a year — around 1% that cannot be</t>
  </si>
  <si>
    <t xml:space="preserve">attributed to any service.</t>
  </si>
  <si>
    <t xml:space="preserve">8. Housekeeping worth raising</t>
  </si>
  <si>
    <t xml:space="preserve">Unapplied payments: $172 (2023) -&gt; -$100 (2024) -&gt; $11,921 (2025). That is real cash sitting unallocated</t>
  </si>
  <si>
    <t xml:space="preserve">against families' accounts and should be cleared.</t>
  </si>
  <si>
    <t xml:space="preserve">Staff category: $2,660 -&gt; $10,227 -&gt; $3,825. The 2024 spike needs an explanation.</t>
  </si>
  <si>
    <t xml:space="preserve">Discounting is rising: $128,402 -&gt; $145,131 -&gt; $148,452, running 6.0-6.2% of gross throughout.</t>
  </si>
  <si>
    <t xml:space="preserve">THE 2026 FILE IS UNUSABLE</t>
  </si>
  <si>
    <t xml:space="preserve">RPT_515608_RSR_54371_2026.pdf has a date range of 1/1/2026 to 12/31/2025 — the end date precedes the start</t>
  </si>
  <si>
    <t xml:space="preserve">date, so the report returned $0.00 with no rows. Re-run it as 1/1/2026 to 12/31/2026.</t>
  </si>
  <si>
    <t xml:space="preserve">Note that 2026 will be a part-year figure and not comparable to the full years without annualising.</t>
  </si>
  <si>
    <t xml:space="preserve">WHAT IS STILL MISSING</t>
  </si>
  <si>
    <t xml:space="preserve">a)  Transaction counts. Every Revenue Summary shows Enrollment as 0, so '# Sales Transactions' and</t>
  </si>
  <si>
    <t xml:space="preserve">     'Avg. Sales Transaction Value' cannot be filled from these reports. Pull Transaction Listing or</t>
  </si>
  <si>
    <t xml:space="preserve">     Transaction Summary for the same three date ranges.</t>
  </si>
  <si>
    <t xml:space="preserve">b)  Cost of sales. Coach hourly rates plus class hours, from payroll. Nothing in Jackrabbit provides it.</t>
  </si>
  <si>
    <t xml:space="preserve">c)  The team tuition versus meet-fee split for 2024 and 2025.</t>
  </si>
  <si>
    <t xml:space="preserve">Cat1 categories present by year</t>
  </si>
  <si>
    <t xml:space="preserve">Anything not present in all three years is a categorisation change, not necessarily a business change.</t>
  </si>
  <si>
    <t xml:space="preserve">Cat1 value</t>
  </si>
  <si>
    <t xml:space="preserve">Status</t>
  </si>
  <si>
    <t xml:space="preserve">--Unapplied Payments--</t>
  </si>
  <si>
    <t xml:space="preserve">All years. 2025 balance needs clearing.</t>
  </si>
  <si>
    <t xml:space="preserve">Annual Membership</t>
  </si>
  <si>
    <t xml:space="preserve">All years. Student-count proxy.</t>
  </si>
  <si>
    <t xml:space="preserve">Birthday Parties</t>
  </si>
  <si>
    <t xml:space="preserve">absent</t>
  </si>
  <si>
    <t xml:space="preserve">GONE in 2025 — appears discontinued.</t>
  </si>
  <si>
    <t xml:space="preserve">Gift Certificate</t>
  </si>
  <si>
    <t xml:space="preserve">GONE in 2025.</t>
  </si>
  <si>
    <t xml:space="preserve">Non-Instructional time</t>
  </si>
  <si>
    <t xml:space="preserve">NEW in 2025. Too small to be the parties successor.</t>
  </si>
  <si>
    <t xml:space="preserve">Open Gym</t>
  </si>
  <si>
    <t xml:space="preserve">All years.</t>
  </si>
  <si>
    <t xml:space="preserve">Private Lessons</t>
  </si>
  <si>
    <t xml:space="preserve">All years. Growing fast.</t>
  </si>
  <si>
    <t xml:space="preserve">ProShop</t>
  </si>
  <si>
    <t xml:space="preserve">Recreational</t>
  </si>
  <si>
    <t xml:space="preserve">All years. The core.</t>
  </si>
  <si>
    <t xml:space="preserve">Staff</t>
  </si>
  <si>
    <t xml:space="preserve">All years. 2024 spike unexplained.</t>
  </si>
  <si>
    <t xml:space="preserve">Team</t>
  </si>
  <si>
    <t xml:space="preserve">Tumble</t>
  </si>
  <si>
    <t xml:space="preserve">NEW in 2025. A mis-tag — belongs under Recreational.</t>
  </si>
  <si>
    <t xml:space="preserve">Cat2 drift inside Recreational</t>
  </si>
  <si>
    <t xml:space="preserve">Pre-Team (Invite Only): $26,248 in 2023, then absent. Pre-team revenue moves into Rec Girls / Rec Boys via</t>
  </si>
  <si>
    <t xml:space="preserve">Cat3 codes (Girls PT1, Boys PT1) from 2024. Girls Wings 2023-to-2024 growth is therefore overstated.</t>
  </si>
  <si>
    <t xml:space="preserve">Boys B3 collapses from $11,108 (2023) to $10,445 (2024) to $1,230 (2025) — a level being retired.</t>
  </si>
  <si>
    <t xml:space="preserve">Girls G4 and G5 both grow sharply in 2025 ($124,249 and $54,638) while G1 falls — students moving up the</t>
  </si>
  <si>
    <t xml:space="preserve">ladder rather than new students entering. Consistent with the falling membership-fee count.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</si>
</sst>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&quot;($&quot;#,##0.00\);\-"/>
    <numFmt numFmtId="166" formatCode="\+0.0%;\-0.0%;0.0%"/>
    <numFmt numFmtId="167" formatCode="0.0%;\(0.0%\);\-"/>
    <numFmt numFmtId="168" formatCode="#,##0;\(#,##0\);\-"/>
    <numFmt numFmtId="169" formatCode="\$#,##0;&quot;($&quot;#,##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10"/>
      <color rgb="FFC9D1E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D47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1"/>
      <color rgb="FFFFD479"/>
      <name val="Arial"/>
      <family val="0"/>
      <charset val="1"/>
    </font>
    <font>
      <b val="true"/>
      <sz val="11"/>
      <color rgb="FFFF9B9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8B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F3641"/>
        <bgColor rgb="FF1F2937"/>
      </patternFill>
    </fill>
    <fill>
      <patternFill patternType="solid">
        <fgColor rgb="FF8B3DD7"/>
        <bgColor rgb="FF993366"/>
      </patternFill>
    </fill>
    <fill>
      <patternFill patternType="solid">
        <fgColor rgb="FFD6DEF5"/>
        <bgColor rgb="FFDCE3F2"/>
      </patternFill>
    </fill>
    <fill>
      <patternFill patternType="solid">
        <fgColor rgb="FFFFFFFF"/>
        <bgColor rgb="FFDCE3F2"/>
      </patternFill>
    </fill>
    <fill>
      <patternFill patternType="solid">
        <fgColor rgb="FFDCE3F2"/>
        <bgColor rgb="FFD6DEF5"/>
      </patternFill>
    </fill>
    <fill>
      <patternFill patternType="solid">
        <fgColor rgb="FFE8D9F5"/>
        <bgColor rgb="FFDCE3F2"/>
      </patternFill>
    </fill>
    <fill>
      <patternFill patternType="solid">
        <fgColor rgb="FFD9D9D9"/>
        <bgColor rgb="FFD6DEF5"/>
      </patternFill>
    </fill>
    <fill>
      <patternFill patternType="solid">
        <fgColor rgb="FFB9C4DC"/>
        <bgColor rgb="FFC9D1E0"/>
      </patternFill>
    </fill>
    <fill>
      <patternFill patternType="solid">
        <fgColor rgb="FFF5D9D9"/>
        <bgColor rgb="FFE8D9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7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8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2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B9C4DC"/>
      <rgbColor rgb="FF808080"/>
      <rgbColor rgb="FF9999FF"/>
      <rgbColor rgb="FF8B3DD7"/>
      <rgbColor rgb="FFF5D9D9"/>
      <rgbColor rgb="FFDCE3F2"/>
      <rgbColor rgb="FF660066"/>
      <rgbColor rgb="FFFF8080"/>
      <rgbColor rgb="FF0066CC"/>
      <rgbColor rgb="FFC9D1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DEF5"/>
      <rgbColor rgb="FFD9D9D9"/>
      <rgbColor rgb="FFE8D9F5"/>
      <rgbColor rgb="FF99CCFF"/>
      <rgbColor rgb="FFFF9B9B"/>
      <rgbColor rgb="FFCC99FF"/>
      <rgbColor rgb="FFFFD479"/>
      <rgbColor rgb="FF3366FF"/>
      <rgbColor rgb="FF33CCCC"/>
      <rgbColor rgb="FF99CC00"/>
      <rgbColor rgb="FFFFCC00"/>
      <rgbColor rgb="FFFF9900"/>
      <rgbColor rgb="FFFF6600"/>
      <rgbColor rgb="FF666699"/>
      <rgbColor rgb="FF9AA3B2"/>
      <rgbColor rgb="FF003366"/>
      <rgbColor rgb="FF339966"/>
      <rgbColor rgb="FF003300"/>
      <rgbColor rgb="FF1F2937"/>
      <rgbColor rgb="FF993300"/>
      <rgbColor rgb="FF993366"/>
      <rgbColor rgb="FF333399"/>
      <rgbColor rgb="FF2F36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5" min="3" style="0" width="14"/>
    <col collapsed="false" customWidth="true" hidden="false" outlineLevel="0" max="9" min="6" style="0" width="11"/>
    <col collapsed="false" customWidth="true" hidden="false" outlineLevel="0" max="10" min="10" style="0" width="62"/>
  </cols>
  <sheetData>
    <row r="1" customFormat="false" ht="18.55" hidden="false" customHeight="fals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false" outlineLevel="0" collapsed="false">
      <c r="A4" s="1"/>
      <c r="B4" s="4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4" t="s">
        <v>10</v>
      </c>
      <c r="K4" s="1"/>
      <c r="L4" s="1"/>
    </row>
    <row r="5" customFormat="false" ht="15" hidden="false" customHeight="false" outlineLevel="0" collapsed="false">
      <c r="A5" s="1"/>
      <c r="B5" s="6" t="s">
        <v>11</v>
      </c>
      <c r="C5" s="7" t="n">
        <v>748491.02</v>
      </c>
      <c r="D5" s="7" t="n">
        <v>999839.46</v>
      </c>
      <c r="E5" s="7" t="n">
        <v>975278.37</v>
      </c>
      <c r="F5" s="8" t="n">
        <f aca="false">IF(OR(C5=0,D5=0),"n/a",D5/C5-1)</f>
        <v>0.335806887836811</v>
      </c>
      <c r="G5" s="8" t="n">
        <f aca="false">IF(OR(D5=0,E5=0),"n/a",E5/D5-1)</f>
        <v>-0.0245650336705054</v>
      </c>
      <c r="H5" s="8" t="n">
        <f aca="false">IF(OR(C5=0,E5=0),"n/a",E5/C5-1)</f>
        <v>0.302992746659806</v>
      </c>
      <c r="I5" s="9" t="n">
        <f aca="false">IFERROR(E5/$E$22,0)</f>
        <v>0.435191170227345</v>
      </c>
      <c r="J5" s="10" t="s">
        <v>12</v>
      </c>
      <c r="K5" s="1"/>
      <c r="L5" s="1"/>
    </row>
    <row r="6" customFormat="false" ht="15" hidden="false" customHeight="false" outlineLevel="0" collapsed="false">
      <c r="A6" s="1"/>
      <c r="B6" s="6" t="s">
        <v>13</v>
      </c>
      <c r="C6" s="7" t="n">
        <v>343335.26</v>
      </c>
      <c r="D6" s="7" t="n">
        <v>381504.55</v>
      </c>
      <c r="E6" s="7" t="n">
        <v>367014.79</v>
      </c>
      <c r="F6" s="8" t="n">
        <f aca="false">IF(OR(C6=0,D6=0),"n/a",D6/C6-1)</f>
        <v>0.111172065461613</v>
      </c>
      <c r="G6" s="8" t="n">
        <f aca="false">IF(OR(D6=0,E6=0),"n/a",E6/D6-1)</f>
        <v>-0.037980569301205</v>
      </c>
      <c r="H6" s="8" t="n">
        <f aca="false">IF(OR(C6=0,E6=0),"n/a",E6/C6-1)</f>
        <v>0.0689691178237852</v>
      </c>
      <c r="I6" s="9" t="n">
        <f aca="false">IFERROR(E6/$E$22,0)</f>
        <v>0.163770263817953</v>
      </c>
      <c r="J6" s="10" t="s">
        <v>14</v>
      </c>
      <c r="K6" s="1"/>
      <c r="L6" s="1"/>
    </row>
    <row r="7" customFormat="false" ht="15" hidden="false" customHeight="false" outlineLevel="0" collapsed="false">
      <c r="A7" s="1"/>
      <c r="B7" s="6" t="s">
        <v>15</v>
      </c>
      <c r="C7" s="7" t="n">
        <v>86323.49</v>
      </c>
      <c r="D7" s="7" t="n">
        <v>84553.6</v>
      </c>
      <c r="E7" s="7" t="n">
        <v>85489.15</v>
      </c>
      <c r="F7" s="8" t="n">
        <f aca="false">IF(OR(C7=0,D7=0),"n/a",D7/C7-1)</f>
        <v>-0.0205029940286242</v>
      </c>
      <c r="G7" s="8" t="n">
        <f aca="false">IF(OR(D7=0,E7=0),"n/a",E7/D7-1)</f>
        <v>0.0110645791545243</v>
      </c>
      <c r="H7" s="8" t="n">
        <f aca="false">IF(OR(C7=0,E7=0),"n/a",E7/C7-1)</f>
        <v>-0.00966527187443433</v>
      </c>
      <c r="I7" s="9" t="n">
        <f aca="false">IFERROR(E7/$E$22,0)</f>
        <v>0.0381471837935266</v>
      </c>
      <c r="J7" s="10" t="s">
        <v>16</v>
      </c>
      <c r="K7" s="1"/>
      <c r="L7" s="1"/>
    </row>
    <row r="8" customFormat="false" ht="15" hidden="false" customHeight="false" outlineLevel="0" collapsed="false">
      <c r="A8" s="1"/>
      <c r="B8" s="6" t="s">
        <v>17</v>
      </c>
      <c r="C8" s="7" t="n">
        <v>83307.09</v>
      </c>
      <c r="D8" s="7" t="n">
        <v>102217.79</v>
      </c>
      <c r="E8" s="7" t="n">
        <v>89018.18</v>
      </c>
      <c r="F8" s="8" t="n">
        <f aca="false">IF(OR(C8=0,D8=0),"n/a",D8/C8-1)</f>
        <v>0.226999886804352</v>
      </c>
      <c r="G8" s="8" t="n">
        <f aca="false">IF(OR(D8=0,E8=0),"n/a",E8/D8-1)</f>
        <v>-0.129132218569781</v>
      </c>
      <c r="H8" s="8" t="n">
        <f aca="false">IF(OR(C8=0,E8=0),"n/a",E8/C8-1)</f>
        <v>0.0685546692364358</v>
      </c>
      <c r="I8" s="9" t="n">
        <f aca="false">IFERROR(E8/$E$22,0)</f>
        <v>0.0397219164470021</v>
      </c>
      <c r="J8" s="10" t="s">
        <v>18</v>
      </c>
      <c r="K8" s="1"/>
      <c r="L8" s="1"/>
    </row>
    <row r="9" customFormat="false" ht="15" hidden="false" customHeight="false" outlineLevel="0" collapsed="false">
      <c r="A9" s="1"/>
      <c r="B9" s="11" t="s">
        <v>19</v>
      </c>
      <c r="C9" s="7" t="n">
        <v>26248.25</v>
      </c>
      <c r="D9" s="7" t="n">
        <v>0</v>
      </c>
      <c r="E9" s="7" t="n">
        <v>0</v>
      </c>
      <c r="F9" s="8" t="str">
        <f aca="false">IF(OR(C9=0,D9=0),"n/a",D9/C9-1)</f>
        <v>n/a</v>
      </c>
      <c r="G9" s="8" t="str">
        <f aca="false">IF(OR(D9=0,E9=0),"n/a",E9/D9-1)</f>
        <v>n/a</v>
      </c>
      <c r="H9" s="8" t="str">
        <f aca="false">IF(OR(C9=0,E9=0),"n/a",E9/C9-1)</f>
        <v>n/a</v>
      </c>
      <c r="I9" s="9" t="n">
        <f aca="false">IFERROR(E9/$E$22,0)</f>
        <v>0</v>
      </c>
      <c r="J9" s="10" t="s">
        <v>20</v>
      </c>
      <c r="K9" s="1"/>
      <c r="L9" s="1"/>
    </row>
    <row r="10" customFormat="false" ht="15" hidden="false" customHeight="false" outlineLevel="0" collapsed="false">
      <c r="A10" s="1"/>
      <c r="B10" s="11" t="s">
        <v>21</v>
      </c>
      <c r="C10" s="7" t="n">
        <v>21744.45</v>
      </c>
      <c r="D10" s="7" t="n">
        <v>27885.43</v>
      </c>
      <c r="E10" s="7" t="n">
        <v>19636.96</v>
      </c>
      <c r="F10" s="8" t="n">
        <f aca="false">IF(OR(C10=0,D10=0),"n/a",D10/C10-1)</f>
        <v>0.282415972811453</v>
      </c>
      <c r="G10" s="8" t="n">
        <f aca="false">IF(OR(D10=0,E10=0),"n/a",E10/D10-1)</f>
        <v>-0.295798558602109</v>
      </c>
      <c r="H10" s="8" t="n">
        <f aca="false">IF(OR(C10=0,E10=0),"n/a",E10/C10-1)</f>
        <v>-0.0969208234744958</v>
      </c>
      <c r="I10" s="9" t="n">
        <f aca="false">IFERROR(E10/$E$22,0)</f>
        <v>0.00876245374139443</v>
      </c>
      <c r="J10" s="10" t="s">
        <v>22</v>
      </c>
      <c r="K10" s="1"/>
      <c r="L10" s="1"/>
    </row>
    <row r="11" customFormat="false" ht="15" hidden="false" customHeight="false" outlineLevel="0" collapsed="false">
      <c r="A11" s="1"/>
      <c r="B11" s="6" t="s">
        <v>23</v>
      </c>
      <c r="C11" s="7" t="n">
        <v>517731.45</v>
      </c>
      <c r="D11" s="7" t="n">
        <v>552485.77</v>
      </c>
      <c r="E11" s="7" t="n">
        <v>564294.62</v>
      </c>
      <c r="F11" s="8" t="n">
        <f aca="false">IF(OR(C11=0,D11=0),"n/a",D11/C11-1)</f>
        <v>0.067128083488071</v>
      </c>
      <c r="G11" s="8" t="n">
        <f aca="false">IF(OR(D11=0,E11=0),"n/a",E11/D11-1)</f>
        <v>0.0213740346651823</v>
      </c>
      <c r="H11" s="8" t="n">
        <f aca="false">IF(OR(C11=0,E11=0),"n/a",E11/C11-1)</f>
        <v>0.0899369161367345</v>
      </c>
      <c r="I11" s="9" t="n">
        <f aca="false">IFERROR(E11/$E$22,0)</f>
        <v>0.251800966354657</v>
      </c>
      <c r="J11" s="10" t="s">
        <v>24</v>
      </c>
      <c r="K11" s="1"/>
      <c r="L11" s="1"/>
    </row>
    <row r="12" customFormat="false" ht="15" hidden="false" customHeight="false" outlineLevel="0" collapsed="false">
      <c r="A12" s="1"/>
      <c r="B12" s="6" t="s">
        <v>25</v>
      </c>
      <c r="C12" s="7" t="n">
        <v>58293.5</v>
      </c>
      <c r="D12" s="7" t="n">
        <v>61640.05</v>
      </c>
      <c r="E12" s="7" t="n">
        <v>52776.95</v>
      </c>
      <c r="F12" s="8" t="n">
        <f aca="false">IF(OR(C12=0,D12=0),"n/a",D12/C12-1)</f>
        <v>0.0574086304648032</v>
      </c>
      <c r="G12" s="8" t="n">
        <f aca="false">IF(OR(D12=0,E12=0),"n/a",E12/D12-1)</f>
        <v>-0.143788007959111</v>
      </c>
      <c r="H12" s="8" t="n">
        <f aca="false">IF(OR(C12=0,E12=0),"n/a",E12/C12-1)</f>
        <v>-0.0946340501085027</v>
      </c>
      <c r="I12" s="9" t="n">
        <f aca="false">IFERROR(E12/$E$22,0)</f>
        <v>0.0235502635329953</v>
      </c>
      <c r="J12" s="10" t="s">
        <v>26</v>
      </c>
      <c r="K12" s="1"/>
      <c r="L12" s="1"/>
    </row>
    <row r="13" customFormat="false" ht="15" hidden="false" customHeight="false" outlineLevel="0" collapsed="false">
      <c r="A13" s="1"/>
      <c r="B13" s="6" t="s">
        <v>27</v>
      </c>
      <c r="C13" s="7" t="n">
        <v>28031.65</v>
      </c>
      <c r="D13" s="7" t="n">
        <v>28789.86</v>
      </c>
      <c r="E13" s="7" t="n">
        <v>34975.39</v>
      </c>
      <c r="F13" s="8" t="n">
        <f aca="false">IF(OR(C13=0,D13=0),"n/a",D13/C13-1)</f>
        <v>0.0270483542709759</v>
      </c>
      <c r="G13" s="8" t="n">
        <f aca="false">IF(OR(D13=0,E13=0),"n/a",E13/D13-1)</f>
        <v>0.214850992675893</v>
      </c>
      <c r="H13" s="8" t="n">
        <f aca="false">IF(OR(C13=0,E13=0),"n/a",E13/C13-1)</f>
        <v>0.247710712712238</v>
      </c>
      <c r="I13" s="9" t="n">
        <f aca="false">IFERROR(E13/$E$22,0)</f>
        <v>0.0156068066015427</v>
      </c>
      <c r="J13" s="10" t="s">
        <v>28</v>
      </c>
      <c r="K13" s="1"/>
      <c r="L13" s="1"/>
    </row>
    <row r="14" customFormat="false" ht="15" hidden="false" customHeight="false" outlineLevel="0" collapsed="false">
      <c r="A14" s="1"/>
      <c r="B14" s="6" t="s">
        <v>29</v>
      </c>
      <c r="C14" s="7" t="n">
        <v>30059.5</v>
      </c>
      <c r="D14" s="7" t="n">
        <v>23357.15</v>
      </c>
      <c r="E14" s="7" t="n">
        <v>28128.56</v>
      </c>
      <c r="F14" s="8" t="n">
        <f aca="false">IF(OR(C14=0,D14=0),"n/a",D14/C14-1)</f>
        <v>-0.222969443936193</v>
      </c>
      <c r="G14" s="8" t="n">
        <f aca="false">IF(OR(D14=0,E14=0),"n/a",E14/D14-1)</f>
        <v>0.204280487987618</v>
      </c>
      <c r="H14" s="8" t="n">
        <f aca="false">IF(OR(C14=0,E14=0),"n/a",E14/C14-1)</f>
        <v>-0.0642372627621883</v>
      </c>
      <c r="I14" s="9" t="n">
        <f aca="false">IFERROR(E14/$E$22,0)</f>
        <v>0.0125515968771153</v>
      </c>
      <c r="J14" s="10" t="s">
        <v>30</v>
      </c>
      <c r="K14" s="1"/>
      <c r="L14" s="1"/>
    </row>
    <row r="15" customFormat="false" ht="15" hidden="false" customHeight="false" outlineLevel="0" collapsed="false">
      <c r="A15" s="1"/>
      <c r="B15" s="11" t="s">
        <v>31</v>
      </c>
      <c r="C15" s="7" t="n">
        <v>45767.05</v>
      </c>
      <c r="D15" s="7" t="n">
        <v>19038.2</v>
      </c>
      <c r="E15" s="7" t="n">
        <v>0</v>
      </c>
      <c r="F15" s="8" t="n">
        <f aca="false">IF(OR(C15=0,D15=0),"n/a",D15/C15-1)</f>
        <v>-0.584019507484096</v>
      </c>
      <c r="G15" s="8" t="str">
        <f aca="false">IF(OR(D15=0,E15=0),"n/a",E15/D15-1)</f>
        <v>n/a</v>
      </c>
      <c r="H15" s="8" t="str">
        <f aca="false">IF(OR(C15=0,E15=0),"n/a",E15/C15-1)</f>
        <v>n/a</v>
      </c>
      <c r="I15" s="9" t="n">
        <f aca="false">IFERROR(E15/$E$22,0)</f>
        <v>0</v>
      </c>
      <c r="J15" s="10" t="s">
        <v>32</v>
      </c>
      <c r="K15" s="1"/>
      <c r="L15" s="1"/>
    </row>
    <row r="16" customFormat="false" ht="15" hidden="false" customHeight="false" outlineLevel="0" collapsed="false">
      <c r="A16" s="1"/>
      <c r="B16" s="6" t="s">
        <v>33</v>
      </c>
      <c r="C16" s="7" t="n">
        <v>3815.71</v>
      </c>
      <c r="D16" s="7" t="n">
        <v>5645.13</v>
      </c>
      <c r="E16" s="7" t="n">
        <v>8318.25</v>
      </c>
      <c r="F16" s="8" t="n">
        <f aca="false">IF(OR(C16=0,D16=0),"n/a",D16/C16-1)</f>
        <v>0.479444192561804</v>
      </c>
      <c r="G16" s="8" t="n">
        <f aca="false">IF(OR(D16=0,E16=0),"n/a",E16/D16-1)</f>
        <v>0.473526738976782</v>
      </c>
      <c r="H16" s="8" t="n">
        <f aca="false">IF(OR(C16=0,E16=0),"n/a",E16/C16-1)</f>
        <v>1.18000057656373</v>
      </c>
      <c r="I16" s="9" t="n">
        <f aca="false">IFERROR(E16/$E$22,0)</f>
        <v>0.00371179046218733</v>
      </c>
      <c r="J16" s="10" t="s">
        <v>34</v>
      </c>
      <c r="K16" s="1"/>
      <c r="L16" s="1"/>
    </row>
    <row r="17" customFormat="false" ht="15" hidden="false" customHeight="false" outlineLevel="0" collapsed="false">
      <c r="A17" s="1"/>
      <c r="B17" s="11" t="s">
        <v>35</v>
      </c>
      <c r="C17" s="7" t="n">
        <v>310</v>
      </c>
      <c r="D17" s="7" t="n">
        <v>270</v>
      </c>
      <c r="E17" s="7" t="n">
        <v>0</v>
      </c>
      <c r="F17" s="8" t="n">
        <f aca="false">IF(OR(C17=0,D17=0),"n/a",D17/C17-1)</f>
        <v>-0.129032258064516</v>
      </c>
      <c r="G17" s="8" t="str">
        <f aca="false">IF(OR(D17=0,E17=0),"n/a",E17/D17-1)</f>
        <v>n/a</v>
      </c>
      <c r="H17" s="8" t="str">
        <f aca="false">IF(OR(C17=0,E17=0),"n/a",E17/C17-1)</f>
        <v>n/a</v>
      </c>
      <c r="I17" s="9" t="n">
        <f aca="false">IFERROR(E17/$E$22,0)</f>
        <v>0</v>
      </c>
      <c r="J17" s="10" t="s">
        <v>36</v>
      </c>
      <c r="K17" s="1"/>
      <c r="L17" s="1"/>
    </row>
    <row r="18" customFormat="false" ht="15" hidden="false" customHeight="false" outlineLevel="0" collapsed="false">
      <c r="A18" s="1"/>
      <c r="B18" s="11" t="s">
        <v>37</v>
      </c>
      <c r="C18" s="7" t="n">
        <v>0</v>
      </c>
      <c r="D18" s="7" t="n">
        <v>0</v>
      </c>
      <c r="E18" s="7" t="n">
        <v>340</v>
      </c>
      <c r="F18" s="8" t="str">
        <f aca="false">IF(OR(C18=0,D18=0),"n/a",D18/C18-1)</f>
        <v>n/a</v>
      </c>
      <c r="G18" s="8" t="str">
        <f aca="false">IF(OR(D18=0,E18=0),"n/a",E18/D18-1)</f>
        <v>n/a</v>
      </c>
      <c r="H18" s="8" t="str">
        <f aca="false">IF(OR(C18=0,E18=0),"n/a",E18/C18-1)</f>
        <v>n/a</v>
      </c>
      <c r="I18" s="9" t="n">
        <f aca="false">IFERROR(E18/$E$22,0)</f>
        <v>0.000151715656194956</v>
      </c>
      <c r="J18" s="10" t="s">
        <v>38</v>
      </c>
      <c r="K18" s="1"/>
      <c r="L18" s="1"/>
    </row>
    <row r="19" customFormat="false" ht="15" hidden="false" customHeight="false" outlineLevel="0" collapsed="false">
      <c r="A19" s="1"/>
      <c r="B19" s="11" t="s">
        <v>39</v>
      </c>
      <c r="C19" s="7" t="n">
        <v>0</v>
      </c>
      <c r="D19" s="7" t="n">
        <v>0</v>
      </c>
      <c r="E19" s="7" t="n">
        <v>17.8</v>
      </c>
      <c r="F19" s="8" t="str">
        <f aca="false">IF(OR(C19=0,D19=0),"n/a",D19/C19-1)</f>
        <v>n/a</v>
      </c>
      <c r="G19" s="8" t="str">
        <f aca="false">IF(OR(D19=0,E19=0),"n/a",E19/D19-1)</f>
        <v>n/a</v>
      </c>
      <c r="H19" s="8" t="str">
        <f aca="false">IF(OR(C19=0,E19=0),"n/a",E19/C19-1)</f>
        <v>n/a</v>
      </c>
      <c r="I19" s="9" t="n">
        <f aca="false">IFERROR(E19/$E$22,0)</f>
        <v>7.94276082432417E-006</v>
      </c>
      <c r="J19" s="10" t="s">
        <v>40</v>
      </c>
      <c r="K19" s="1"/>
      <c r="L19" s="1"/>
    </row>
    <row r="20" customFormat="false" ht="15" hidden="false" customHeight="false" outlineLevel="0" collapsed="false">
      <c r="A20" s="1"/>
      <c r="B20" s="12" t="s">
        <v>41</v>
      </c>
      <c r="C20" s="7" t="n">
        <v>2660.1</v>
      </c>
      <c r="D20" s="7" t="n">
        <v>10226.82</v>
      </c>
      <c r="E20" s="7" t="n">
        <v>3824.77</v>
      </c>
      <c r="F20" s="8" t="n">
        <f aca="false">IF(OR(C20=0,D20=0),"n/a",D20/C20-1)</f>
        <v>2.84452464193075</v>
      </c>
      <c r="G20" s="8" t="n">
        <f aca="false">IF(OR(D20=0,E20=0),"n/a",E20/D20-1)</f>
        <v>-0.626005933418208</v>
      </c>
      <c r="H20" s="8" t="n">
        <f aca="false">IF(OR(C20=0,E20=0),"n/a",E20/C20-1)</f>
        <v>0.43782940490959</v>
      </c>
      <c r="I20" s="9" t="n">
        <f aca="false">IFERROR(E20/$E$22,0)</f>
        <v>0.00170669850101407</v>
      </c>
      <c r="J20" s="10" t="s">
        <v>42</v>
      </c>
      <c r="K20" s="1"/>
      <c r="L20" s="1"/>
    </row>
    <row r="21" customFormat="false" ht="15" hidden="false" customHeight="false" outlineLevel="0" collapsed="false">
      <c r="A21" s="1"/>
      <c r="B21" s="12" t="s">
        <v>43</v>
      </c>
      <c r="C21" s="7" t="n">
        <v>172</v>
      </c>
      <c r="D21" s="7" t="n">
        <v>-100</v>
      </c>
      <c r="E21" s="7" t="n">
        <v>11920.58</v>
      </c>
      <c r="F21" s="8" t="n">
        <f aca="false">IF(OR(C21=0,D21=0),"n/a",D21/C21-1)</f>
        <v>-1.58139534883721</v>
      </c>
      <c r="G21" s="8" t="n">
        <f aca="false">IF(OR(D21=0,E21=0),"n/a",E21/D21-1)</f>
        <v>-120.2058</v>
      </c>
      <c r="H21" s="8" t="n">
        <f aca="false">IF(OR(C21=0,E21=0),"n/a",E21/C21-1)</f>
        <v>68.3056976744186</v>
      </c>
      <c r="I21" s="9" t="n">
        <f aca="false">IFERROR(E21/$E$22,0)</f>
        <v>0.00531923122624844</v>
      </c>
      <c r="J21" s="10" t="s">
        <v>44</v>
      </c>
      <c r="K21" s="1"/>
      <c r="L21" s="1"/>
    </row>
    <row r="22" customFormat="false" ht="15" hidden="false" customHeight="false" outlineLevel="0" collapsed="false">
      <c r="A22" s="1"/>
      <c r="B22" s="13" t="s">
        <v>45</v>
      </c>
      <c r="C22" s="14" t="n">
        <f aca="false">SUM(C5:C21)</f>
        <v>1996290.52</v>
      </c>
      <c r="D22" s="14" t="n">
        <f aca="false">SUM(D5:D21)</f>
        <v>2297353.81</v>
      </c>
      <c r="E22" s="14" t="n">
        <f aca="false">SUM(E5:E21)</f>
        <v>2241034.37</v>
      </c>
      <c r="F22" s="15" t="n">
        <f aca="false">D22/C22-1</f>
        <v>0.150811360863448</v>
      </c>
      <c r="G22" s="15" t="n">
        <f aca="false">E22/D22-1</f>
        <v>-0.0245149178828489</v>
      </c>
      <c r="H22" s="15" t="n">
        <f aca="false">E22/C22-1</f>
        <v>0.122599314853231</v>
      </c>
      <c r="I22" s="16" t="n">
        <f aca="false">IFERROR(E22/E22,0)</f>
        <v>1</v>
      </c>
      <c r="J22" s="1"/>
      <c r="K22" s="1"/>
      <c r="L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customFormat="false" ht="15" hidden="false" customHeight="false" outlineLevel="0" collapsed="false">
      <c r="A24" s="1"/>
      <c r="B24" s="17" t="s">
        <v>46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15" hidden="false" customHeight="false" outlineLevel="0" collapsed="false">
      <c r="A25" s="1"/>
      <c r="B25" s="18" t="s">
        <v>47</v>
      </c>
      <c r="C25" s="19" t="n">
        <v>1996290.52</v>
      </c>
      <c r="D25" s="19" t="n">
        <v>2297353.81</v>
      </c>
      <c r="E25" s="19" t="n">
        <v>2241034.37</v>
      </c>
      <c r="F25" s="1"/>
      <c r="G25" s="1"/>
      <c r="H25" s="1"/>
      <c r="I25" s="1"/>
      <c r="J25" s="1"/>
      <c r="K25" s="1"/>
      <c r="L25" s="1"/>
    </row>
    <row r="26" customFormat="false" ht="15" hidden="false" customHeight="false" outlineLevel="0" collapsed="false">
      <c r="A26" s="1"/>
      <c r="B26" s="18" t="s">
        <v>48</v>
      </c>
      <c r="C26" s="19" t="n">
        <f aca="false">C22-C25</f>
        <v>0</v>
      </c>
      <c r="D26" s="19" t="n">
        <f aca="false">D22-D25</f>
        <v>0</v>
      </c>
      <c r="E26" s="19" t="n">
        <f aca="false">E22-E25</f>
        <v>0</v>
      </c>
      <c r="F26" s="1"/>
      <c r="G26" s="1"/>
      <c r="H26" s="1"/>
      <c r="I26" s="1"/>
      <c r="J26" s="1"/>
      <c r="K26" s="1"/>
      <c r="L26" s="1"/>
    </row>
    <row r="27" customFormat="false" ht="15" hidden="false" customHeight="false" outlineLevel="0" collapsed="false">
      <c r="A27" s="1"/>
      <c r="B27" s="18" t="s">
        <v>49</v>
      </c>
      <c r="C27" s="19" t="n">
        <v>128402.4</v>
      </c>
      <c r="D27" s="19" t="n">
        <v>145130.58</v>
      </c>
      <c r="E27" s="19" t="n">
        <v>148452.08</v>
      </c>
      <c r="F27" s="1"/>
      <c r="G27" s="1"/>
      <c r="H27" s="1"/>
      <c r="I27" s="1"/>
      <c r="J27" s="1"/>
      <c r="K27" s="1"/>
      <c r="L27" s="1"/>
    </row>
    <row r="28" customFormat="false" ht="15" hidden="false" customHeight="false" outlineLevel="0" collapsed="false">
      <c r="A28" s="1"/>
      <c r="B28" s="18" t="s">
        <v>50</v>
      </c>
      <c r="C28" s="20" t="n">
        <f aca="false">C27/(C22+C27)</f>
        <v>0.0604333919463524</v>
      </c>
      <c r="D28" s="20" t="n">
        <f aca="false">D27/(D22+D27)</f>
        <v>0.0594192456640429</v>
      </c>
      <c r="E28" s="20" t="n">
        <f aca="false">E27/(E22+E27)</f>
        <v>0.0621271905517606</v>
      </c>
      <c r="F28" s="1"/>
      <c r="G28" s="1"/>
      <c r="H28" s="1"/>
      <c r="I28" s="1"/>
      <c r="J28" s="1"/>
      <c r="K28" s="1"/>
      <c r="L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customFormat="false" ht="15" hidden="false" customHeight="false" outlineLevel="0" collapsed="false">
      <c r="A30" s="1"/>
      <c r="B30" s="21" t="s">
        <v>51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customFormat="false" ht="15" hidden="false" customHeight="false" outlineLevel="0" collapsed="false">
      <c r="A31" s="1"/>
      <c r="B31" s="18" t="s">
        <v>52</v>
      </c>
      <c r="C31" s="22" t="n">
        <f aca="false">C12/45</f>
        <v>1295.41111111111</v>
      </c>
      <c r="D31" s="22" t="n">
        <f aca="false">D12/45</f>
        <v>1369.77888888889</v>
      </c>
      <c r="E31" s="22" t="n">
        <f aca="false">E12/45</f>
        <v>1172.82111111111</v>
      </c>
      <c r="F31" s="1"/>
      <c r="G31" s="1"/>
      <c r="H31" s="1"/>
      <c r="I31" s="1"/>
      <c r="J31" s="1"/>
      <c r="K31" s="1"/>
      <c r="L31" s="1"/>
    </row>
    <row r="32" customFormat="false" ht="15" hidden="false" customHeight="false" outlineLevel="0" collapsed="false">
      <c r="A32" s="1"/>
      <c r="B32" s="18" t="s">
        <v>53</v>
      </c>
      <c r="C32" s="23" t="n">
        <f aca="false">IFERROR(C22/C31,0)</f>
        <v>1541.04785953837</v>
      </c>
      <c r="D32" s="23" t="n">
        <f aca="false">IFERROR(D22/D31,0)</f>
        <v>1677.17127825172</v>
      </c>
      <c r="E32" s="23" t="n">
        <f aca="false">IFERROR(E22/E31,0)</f>
        <v>1910.80664286208</v>
      </c>
      <c r="F32" s="1"/>
      <c r="G32" s="1"/>
      <c r="H32" s="1"/>
      <c r="I32" s="1"/>
      <c r="J32" s="1"/>
      <c r="K32" s="1"/>
      <c r="L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customFormat="false" ht="15" hidden="false" customHeight="false" outlineLevel="0" collapsed="false">
      <c r="A34" s="1"/>
      <c r="B34" s="24" t="s">
        <v>54</v>
      </c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5" hidden="false" customHeight="false" outlineLevel="0" collapsed="false">
      <c r="A35" s="1"/>
      <c r="B35" s="1" t="s">
        <v>55</v>
      </c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5" hidden="false" customHeight="false" outlineLevel="0" collapsed="false">
      <c r="A36" s="1"/>
      <c r="B36" s="1" t="s">
        <v>56</v>
      </c>
      <c r="C36" s="1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5" hidden="false" customHeight="false" outlineLevel="0" collapsed="false">
      <c r="A37" s="1"/>
      <c r="B37" s="1" t="s">
        <v>57</v>
      </c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112"/>
  </cols>
  <sheetData>
    <row r="1" customFormat="false" ht="19.7" hidden="false" customHeight="false" outlineLevel="0" collapsed="false">
      <c r="A1" s="1"/>
      <c r="B1" s="25" t="s">
        <v>58</v>
      </c>
      <c r="C1" s="1"/>
      <c r="D1" s="1"/>
      <c r="E1" s="1"/>
      <c r="F1" s="1"/>
    </row>
    <row r="2" customFormat="false" ht="15" hidden="false" customHeight="false" outlineLevel="0" collapsed="false">
      <c r="A2" s="1"/>
      <c r="B2" s="26" t="s">
        <v>59</v>
      </c>
      <c r="C2" s="1"/>
      <c r="D2" s="1"/>
      <c r="E2" s="1"/>
      <c r="F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</row>
    <row r="4" customFormat="false" ht="15" hidden="false" customHeight="false" outlineLevel="0" collapsed="false">
      <c r="A4" s="1"/>
      <c r="B4" s="21" t="s">
        <v>60</v>
      </c>
      <c r="C4" s="1"/>
      <c r="D4" s="1"/>
      <c r="E4" s="1"/>
      <c r="F4" s="1"/>
    </row>
    <row r="5" customFormat="false" ht="15" hidden="false" customHeight="false" outlineLevel="0" collapsed="false">
      <c r="A5" s="1"/>
      <c r="B5" s="1"/>
      <c r="C5" s="1" t="s">
        <v>61</v>
      </c>
      <c r="D5" s="1"/>
      <c r="E5" s="1"/>
      <c r="F5" s="1"/>
    </row>
    <row r="6" customFormat="false" ht="15" hidden="false" customHeight="false" outlineLevel="0" collapsed="false">
      <c r="A6" s="1"/>
      <c r="B6" s="1"/>
      <c r="C6" s="1" t="s">
        <v>62</v>
      </c>
      <c r="D6" s="1"/>
      <c r="E6" s="1"/>
      <c r="F6" s="1"/>
    </row>
    <row r="7" customFormat="false" ht="15" hidden="false" customHeight="false" outlineLevel="0" collapsed="false">
      <c r="A7" s="1"/>
      <c r="B7" s="1"/>
      <c r="C7" s="1" t="s">
        <v>63</v>
      </c>
      <c r="D7" s="1"/>
      <c r="E7" s="1"/>
      <c r="F7" s="1"/>
    </row>
    <row r="8" customFormat="false" ht="15" hidden="false" customHeight="false" outlineLevel="0" collapsed="false">
      <c r="A8" s="1"/>
      <c r="B8" s="1"/>
      <c r="C8" s="1" t="s">
        <v>64</v>
      </c>
      <c r="D8" s="1"/>
      <c r="E8" s="1"/>
      <c r="F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</row>
    <row r="10" customFormat="false" ht="15" hidden="false" customHeight="false" outlineLevel="0" collapsed="false">
      <c r="A10" s="1"/>
      <c r="B10" s="17" t="s">
        <v>65</v>
      </c>
      <c r="C10" s="1"/>
      <c r="D10" s="1"/>
      <c r="E10" s="1"/>
      <c r="F10" s="1"/>
    </row>
    <row r="11" customFormat="false" ht="15" hidden="false" customHeight="false" outlineLevel="0" collapsed="false">
      <c r="A11" s="1"/>
      <c r="B11" s="1"/>
      <c r="C11" s="1" t="s">
        <v>66</v>
      </c>
      <c r="D11" s="1"/>
      <c r="E11" s="1"/>
      <c r="F11" s="1"/>
    </row>
    <row r="12" customFormat="false" ht="15" hidden="false" customHeight="false" outlineLevel="0" collapsed="false">
      <c r="A12" s="1"/>
      <c r="B12" s="1"/>
      <c r="C12" s="1" t="s">
        <v>67</v>
      </c>
      <c r="D12" s="1"/>
      <c r="E12" s="1"/>
      <c r="F12" s="1"/>
    </row>
    <row r="13" customFormat="false" ht="15" hidden="false" customHeight="false" outlineLevel="0" collapsed="false">
      <c r="A13" s="1"/>
      <c r="B13" s="1"/>
      <c r="C13" s="1" t="s">
        <v>68</v>
      </c>
      <c r="D13" s="1"/>
      <c r="E13" s="1"/>
      <c r="F13" s="1"/>
    </row>
    <row r="14" customFormat="false" ht="15" hidden="false" customHeight="false" outlineLevel="0" collapsed="false">
      <c r="A14" s="1"/>
      <c r="B14" s="1"/>
      <c r="C14" s="1" t="s">
        <v>69</v>
      </c>
      <c r="D14" s="1"/>
      <c r="E14" s="1"/>
      <c r="F14" s="1"/>
    </row>
    <row r="15" customFormat="false" ht="15" hidden="false" customHeight="false" outlineLevel="0" collapsed="false">
      <c r="A15" s="1"/>
      <c r="B15" s="1"/>
      <c r="C15" s="1" t="s">
        <v>70</v>
      </c>
      <c r="D15" s="1"/>
      <c r="E15" s="1"/>
      <c r="F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</row>
    <row r="17" customFormat="false" ht="15" hidden="false" customHeight="false" outlineLevel="0" collapsed="false">
      <c r="A17" s="1"/>
      <c r="B17" s="17" t="s">
        <v>71</v>
      </c>
      <c r="C17" s="1"/>
      <c r="D17" s="1"/>
      <c r="E17" s="1"/>
      <c r="F17" s="1"/>
    </row>
    <row r="18" customFormat="false" ht="15" hidden="false" customHeight="false" outlineLevel="0" collapsed="false">
      <c r="A18" s="1"/>
      <c r="B18" s="1"/>
      <c r="C18" s="1" t="s">
        <v>72</v>
      </c>
      <c r="D18" s="1"/>
      <c r="E18" s="1"/>
      <c r="F18" s="1"/>
    </row>
    <row r="19" customFormat="false" ht="15" hidden="false" customHeight="false" outlineLevel="0" collapsed="false">
      <c r="A19" s="1"/>
      <c r="B19" s="1"/>
      <c r="C19" s="1" t="s">
        <v>73</v>
      </c>
      <c r="D19" s="1"/>
      <c r="E19" s="1"/>
      <c r="F19" s="1"/>
    </row>
    <row r="20" customFormat="false" ht="15" hidden="false" customHeight="false" outlineLevel="0" collapsed="false">
      <c r="A20" s="1"/>
      <c r="B20" s="1"/>
      <c r="C20" s="1" t="s">
        <v>74</v>
      </c>
      <c r="D20" s="1"/>
      <c r="E20" s="1"/>
      <c r="F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</row>
    <row r="22" customFormat="false" ht="15" hidden="false" customHeight="false" outlineLevel="0" collapsed="false">
      <c r="A22" s="1"/>
      <c r="B22" s="17" t="s">
        <v>75</v>
      </c>
      <c r="C22" s="1"/>
      <c r="D22" s="1"/>
      <c r="E22" s="1"/>
      <c r="F22" s="1"/>
    </row>
    <row r="23" customFormat="false" ht="15" hidden="false" customHeight="false" outlineLevel="0" collapsed="false">
      <c r="A23" s="1"/>
      <c r="B23" s="1"/>
      <c r="C23" s="1" t="s">
        <v>76</v>
      </c>
      <c r="D23" s="1"/>
      <c r="E23" s="1"/>
      <c r="F23" s="1"/>
    </row>
    <row r="24" customFormat="false" ht="15" hidden="false" customHeight="false" outlineLevel="0" collapsed="false">
      <c r="A24" s="1"/>
      <c r="B24" s="1"/>
      <c r="C24" s="1" t="s">
        <v>77</v>
      </c>
      <c r="D24" s="1"/>
      <c r="E24" s="1"/>
      <c r="F24" s="1"/>
    </row>
    <row r="25" customFormat="false" ht="15" hidden="false" customHeight="false" outlineLevel="0" collapsed="false">
      <c r="A25" s="1"/>
      <c r="B25" s="1"/>
      <c r="C25" s="1" t="s">
        <v>78</v>
      </c>
      <c r="D25" s="1"/>
      <c r="E25" s="1"/>
      <c r="F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</row>
    <row r="27" customFormat="false" ht="15" hidden="false" customHeight="false" outlineLevel="0" collapsed="false">
      <c r="A27" s="1"/>
      <c r="B27" s="27" t="s">
        <v>79</v>
      </c>
      <c r="C27" s="1"/>
      <c r="D27" s="1"/>
      <c r="E27" s="1"/>
      <c r="F27" s="1"/>
    </row>
    <row r="28" customFormat="false" ht="15" hidden="false" customHeight="false" outlineLevel="0" collapsed="false">
      <c r="A28" s="1"/>
      <c r="B28" s="1"/>
      <c r="C28" s="1" t="s">
        <v>80</v>
      </c>
      <c r="D28" s="1"/>
      <c r="E28" s="1"/>
      <c r="F28" s="1"/>
    </row>
    <row r="29" customFormat="false" ht="15" hidden="false" customHeight="false" outlineLevel="0" collapsed="false">
      <c r="A29" s="1"/>
      <c r="B29" s="1"/>
      <c r="C29" s="1" t="s">
        <v>81</v>
      </c>
      <c r="D29" s="1"/>
      <c r="E29" s="1"/>
      <c r="F29" s="1"/>
    </row>
    <row r="30" customFormat="false" ht="15" hidden="false" customHeight="false" outlineLevel="0" collapsed="false">
      <c r="A30" s="1"/>
      <c r="B30" s="1"/>
      <c r="C30" s="1" t="s">
        <v>82</v>
      </c>
      <c r="D30" s="1"/>
      <c r="E30" s="1"/>
      <c r="F30" s="1"/>
    </row>
    <row r="31" customFormat="false" ht="15" hidden="false" customHeight="false" outlineLevel="0" collapsed="false">
      <c r="A31" s="1"/>
      <c r="B31" s="1"/>
      <c r="C31" s="1" t="s">
        <v>83</v>
      </c>
      <c r="D31" s="1"/>
      <c r="E31" s="1"/>
      <c r="F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</row>
    <row r="33" customFormat="false" ht="15" hidden="false" customHeight="false" outlineLevel="0" collapsed="false">
      <c r="A33" s="1"/>
      <c r="B33" s="17" t="s">
        <v>84</v>
      </c>
      <c r="C33" s="1"/>
      <c r="D33" s="1"/>
      <c r="E33" s="1"/>
      <c r="F33" s="1"/>
    </row>
    <row r="34" customFormat="false" ht="15" hidden="false" customHeight="false" outlineLevel="0" collapsed="false">
      <c r="A34" s="1"/>
      <c r="B34" s="1"/>
      <c r="C34" s="1" t="s">
        <v>85</v>
      </c>
      <c r="D34" s="1"/>
      <c r="E34" s="1"/>
      <c r="F34" s="1"/>
    </row>
    <row r="35" customFormat="false" ht="15" hidden="false" customHeight="false" outlineLevel="0" collapsed="false">
      <c r="A35" s="1"/>
      <c r="B35" s="1"/>
      <c r="C35" s="1" t="s">
        <v>86</v>
      </c>
      <c r="D35" s="1"/>
      <c r="E35" s="1"/>
      <c r="F35" s="1"/>
    </row>
    <row r="36" customFormat="false" ht="15" hidden="false" customHeight="false" outlineLevel="0" collapsed="false">
      <c r="A36" s="1"/>
      <c r="B36" s="1"/>
      <c r="C36" s="1" t="s">
        <v>87</v>
      </c>
      <c r="D36" s="1"/>
      <c r="E36" s="1"/>
      <c r="F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</row>
    <row r="38" customFormat="false" ht="15" hidden="false" customHeight="false" outlineLevel="0" collapsed="false">
      <c r="A38" s="1"/>
      <c r="B38" s="17" t="s">
        <v>88</v>
      </c>
      <c r="C38" s="1"/>
      <c r="D38" s="1"/>
      <c r="E38" s="1"/>
      <c r="F38" s="1"/>
    </row>
    <row r="39" customFormat="false" ht="15" hidden="false" customHeight="false" outlineLevel="0" collapsed="false">
      <c r="A39" s="1"/>
      <c r="B39" s="1"/>
      <c r="C39" s="1" t="s">
        <v>89</v>
      </c>
      <c r="D39" s="1"/>
      <c r="E39" s="1"/>
      <c r="F39" s="1"/>
    </row>
    <row r="40" customFormat="false" ht="15" hidden="false" customHeight="false" outlineLevel="0" collapsed="false">
      <c r="A40" s="1"/>
      <c r="B40" s="1"/>
      <c r="C40" s="1" t="s">
        <v>90</v>
      </c>
      <c r="D40" s="1"/>
      <c r="E40" s="1"/>
      <c r="F40" s="1"/>
    </row>
    <row r="41" customFormat="false" ht="15" hidden="false" customHeight="false" outlineLevel="0" collapsed="false">
      <c r="A41" s="1"/>
      <c r="B41" s="1"/>
      <c r="C41" s="1" t="s">
        <v>91</v>
      </c>
      <c r="D41" s="1"/>
      <c r="E41" s="1"/>
      <c r="F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</row>
    <row r="43" customFormat="false" ht="15" hidden="false" customHeight="false" outlineLevel="0" collapsed="false">
      <c r="A43" s="1"/>
      <c r="B43" s="21" t="s">
        <v>92</v>
      </c>
      <c r="C43" s="1"/>
      <c r="D43" s="1"/>
      <c r="E43" s="1"/>
      <c r="F43" s="1"/>
    </row>
    <row r="44" customFormat="false" ht="15" hidden="false" customHeight="false" outlineLevel="0" collapsed="false">
      <c r="A44" s="1"/>
      <c r="B44" s="1"/>
      <c r="C44" s="1" t="s">
        <v>93</v>
      </c>
      <c r="D44" s="1"/>
      <c r="E44" s="1"/>
      <c r="F44" s="1"/>
    </row>
    <row r="45" customFormat="false" ht="15" hidden="false" customHeight="false" outlineLevel="0" collapsed="false">
      <c r="A45" s="1"/>
      <c r="B45" s="1"/>
      <c r="C45" s="1" t="s">
        <v>94</v>
      </c>
      <c r="D45" s="1"/>
      <c r="E45" s="1"/>
      <c r="F45" s="1"/>
    </row>
    <row r="46" customFormat="false" ht="15" hidden="false" customHeight="false" outlineLevel="0" collapsed="false">
      <c r="A46" s="1"/>
      <c r="B46" s="1"/>
      <c r="C46" s="1" t="s">
        <v>95</v>
      </c>
      <c r="D46" s="1"/>
      <c r="E46" s="1"/>
      <c r="F46" s="1"/>
    </row>
    <row r="47" customFormat="false" ht="15" hidden="false" customHeight="false" outlineLevel="0" collapsed="false">
      <c r="A47" s="1"/>
      <c r="B47" s="1"/>
      <c r="C47" s="1" t="s">
        <v>96</v>
      </c>
      <c r="D47" s="1"/>
      <c r="E47" s="1"/>
      <c r="F47" s="1"/>
    </row>
    <row r="48" customFormat="false" ht="15" hidden="false" customHeight="false" outlineLevel="0" collapsed="false">
      <c r="A48" s="1"/>
      <c r="B48" s="1"/>
      <c r="C48" s="1" t="s">
        <v>97</v>
      </c>
      <c r="D48" s="1"/>
      <c r="E48" s="1"/>
      <c r="F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</row>
    <row r="50" customFormat="false" ht="15" hidden="false" customHeight="false" outlineLevel="0" collapsed="false">
      <c r="A50" s="1"/>
      <c r="B50" s="17" t="s">
        <v>98</v>
      </c>
      <c r="C50" s="1"/>
      <c r="D50" s="1"/>
      <c r="E50" s="1"/>
      <c r="F50" s="1"/>
    </row>
    <row r="51" customFormat="false" ht="15" hidden="false" customHeight="false" outlineLevel="0" collapsed="false">
      <c r="A51" s="1"/>
      <c r="B51" s="1"/>
      <c r="C51" s="1" t="s">
        <v>99</v>
      </c>
      <c r="D51" s="1"/>
      <c r="E51" s="1"/>
      <c r="F51" s="1"/>
    </row>
    <row r="52" customFormat="false" ht="15" hidden="false" customHeight="false" outlineLevel="0" collapsed="false">
      <c r="A52" s="1"/>
      <c r="B52" s="1"/>
      <c r="C52" s="1" t="s">
        <v>100</v>
      </c>
      <c r="D52" s="1"/>
      <c r="E52" s="1"/>
      <c r="F52" s="1"/>
    </row>
    <row r="53" customFormat="false" ht="15" hidden="false" customHeight="false" outlineLevel="0" collapsed="false">
      <c r="A53" s="1"/>
      <c r="B53" s="1"/>
      <c r="C53" s="1" t="s">
        <v>101</v>
      </c>
      <c r="D53" s="1"/>
      <c r="E53" s="1"/>
      <c r="F53" s="1"/>
    </row>
    <row r="54" customFormat="false" ht="15" hidden="false" customHeight="false" outlineLevel="0" collapsed="false">
      <c r="A54" s="1"/>
      <c r="B54" s="1"/>
      <c r="C54" s="1" t="s">
        <v>102</v>
      </c>
      <c r="D54" s="1"/>
      <c r="E54" s="1"/>
      <c r="F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</row>
    <row r="56" customFormat="false" ht="15" hidden="false" customHeight="false" outlineLevel="0" collapsed="false">
      <c r="A56" s="1"/>
      <c r="B56" s="27" t="s">
        <v>103</v>
      </c>
      <c r="C56" s="1"/>
      <c r="D56" s="1"/>
      <c r="E56" s="1"/>
      <c r="F56" s="1"/>
    </row>
    <row r="57" customFormat="false" ht="15" hidden="false" customHeight="false" outlineLevel="0" collapsed="false">
      <c r="A57" s="1"/>
      <c r="B57" s="1"/>
      <c r="C57" s="1" t="s">
        <v>104</v>
      </c>
      <c r="D57" s="1"/>
      <c r="E57" s="1"/>
      <c r="F57" s="1"/>
    </row>
    <row r="58" customFormat="false" ht="15" hidden="false" customHeight="false" outlineLevel="0" collapsed="false">
      <c r="A58" s="1"/>
      <c r="B58" s="1"/>
      <c r="C58" s="1" t="s">
        <v>105</v>
      </c>
      <c r="D58" s="1"/>
      <c r="E58" s="1"/>
      <c r="F58" s="1"/>
    </row>
    <row r="59" customFormat="false" ht="15" hidden="false" customHeight="false" outlineLevel="0" collapsed="false">
      <c r="A59" s="1"/>
      <c r="B59" s="1"/>
      <c r="C59" s="1" t="s">
        <v>106</v>
      </c>
      <c r="D59" s="1"/>
      <c r="E59" s="1"/>
      <c r="F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</row>
    <row r="61" customFormat="false" ht="15" hidden="false" customHeight="false" outlineLevel="0" collapsed="false">
      <c r="A61" s="1"/>
      <c r="B61" s="21" t="s">
        <v>107</v>
      </c>
      <c r="C61" s="1"/>
      <c r="D61" s="1"/>
      <c r="E61" s="1"/>
      <c r="F61" s="1"/>
    </row>
    <row r="62" customFormat="false" ht="15" hidden="false" customHeight="false" outlineLevel="0" collapsed="false">
      <c r="A62" s="1"/>
      <c r="B62" s="1"/>
      <c r="C62" s="1" t="s">
        <v>108</v>
      </c>
      <c r="D62" s="1"/>
      <c r="E62" s="1"/>
      <c r="F62" s="1"/>
    </row>
    <row r="63" customFormat="false" ht="15" hidden="false" customHeight="false" outlineLevel="0" collapsed="false">
      <c r="A63" s="1"/>
      <c r="B63" s="1"/>
      <c r="C63" s="1" t="s">
        <v>109</v>
      </c>
      <c r="D63" s="1"/>
      <c r="E63" s="1"/>
      <c r="F63" s="1"/>
    </row>
    <row r="64" customFormat="false" ht="15" hidden="false" customHeight="false" outlineLevel="0" collapsed="false">
      <c r="A64" s="1"/>
      <c r="B64" s="1"/>
      <c r="C64" s="1" t="s">
        <v>110</v>
      </c>
      <c r="D64" s="1"/>
      <c r="E64" s="1"/>
      <c r="F64" s="1"/>
    </row>
    <row r="65" customFormat="false" ht="15" hidden="false" customHeight="false" outlineLevel="0" collapsed="false">
      <c r="A65" s="1"/>
      <c r="B65" s="1"/>
      <c r="C65" s="1" t="s">
        <v>111</v>
      </c>
      <c r="D65" s="1"/>
      <c r="E65" s="1"/>
      <c r="F65" s="1"/>
    </row>
    <row r="66" customFormat="false" ht="15" hidden="false" customHeight="false" outlineLevel="0" collapsed="false">
      <c r="A66" s="1"/>
      <c r="B66" s="1"/>
      <c r="C66" s="1" t="s">
        <v>112</v>
      </c>
      <c r="D66" s="1"/>
      <c r="E66" s="1"/>
      <c r="F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/>
      <c r="B1" s="28" t="s">
        <v>113</v>
      </c>
      <c r="C1" s="1"/>
      <c r="D1" s="1"/>
      <c r="E1" s="1"/>
      <c r="F1" s="1"/>
      <c r="G1" s="1"/>
    </row>
    <row r="2" customFormat="false" ht="15" hidden="false" customHeight="false" outlineLevel="0" collapsed="false">
      <c r="A2" s="1"/>
      <c r="B2" s="3" t="s">
        <v>114</v>
      </c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15" hidden="false" customHeight="false" outlineLevel="0" collapsed="false">
      <c r="A4" s="1"/>
      <c r="B4" s="4" t="s">
        <v>115</v>
      </c>
      <c r="C4" s="5" t="s">
        <v>3</v>
      </c>
      <c r="D4" s="5" t="s">
        <v>4</v>
      </c>
      <c r="E4" s="5" t="s">
        <v>5</v>
      </c>
      <c r="F4" s="4" t="s">
        <v>116</v>
      </c>
      <c r="G4" s="1"/>
    </row>
    <row r="5" customFormat="false" ht="15" hidden="false" customHeight="false" outlineLevel="0" collapsed="false">
      <c r="A5" s="1"/>
      <c r="B5" s="6" t="s">
        <v>117</v>
      </c>
      <c r="C5" s="7" t="n">
        <v>172</v>
      </c>
      <c r="D5" s="7" t="n">
        <v>-100</v>
      </c>
      <c r="E5" s="7" t="n">
        <v>11920.58</v>
      </c>
      <c r="F5" s="10" t="s">
        <v>118</v>
      </c>
      <c r="G5" s="1"/>
    </row>
    <row r="6" customFormat="false" ht="15" hidden="false" customHeight="false" outlineLevel="0" collapsed="false">
      <c r="A6" s="1"/>
      <c r="B6" s="6" t="s">
        <v>119</v>
      </c>
      <c r="C6" s="7" t="n">
        <v>58293.5</v>
      </c>
      <c r="D6" s="7" t="n">
        <v>61640.05</v>
      </c>
      <c r="E6" s="7" t="n">
        <v>52776.95</v>
      </c>
      <c r="F6" s="10" t="s">
        <v>120</v>
      </c>
      <c r="G6" s="1"/>
    </row>
    <row r="7" customFormat="false" ht="15" hidden="false" customHeight="false" outlineLevel="0" collapsed="false">
      <c r="A7" s="1"/>
      <c r="B7" s="6" t="s">
        <v>121</v>
      </c>
      <c r="C7" s="7" t="n">
        <v>45767.05</v>
      </c>
      <c r="D7" s="7" t="n">
        <v>19038.2</v>
      </c>
      <c r="E7" s="29" t="s">
        <v>122</v>
      </c>
      <c r="F7" s="10" t="s">
        <v>123</v>
      </c>
      <c r="G7" s="1"/>
    </row>
    <row r="8" customFormat="false" ht="15" hidden="false" customHeight="false" outlineLevel="0" collapsed="false">
      <c r="A8" s="1"/>
      <c r="B8" s="6" t="s">
        <v>124</v>
      </c>
      <c r="C8" s="7" t="n">
        <v>310</v>
      </c>
      <c r="D8" s="7" t="n">
        <v>270</v>
      </c>
      <c r="E8" s="29" t="s">
        <v>122</v>
      </c>
      <c r="F8" s="10" t="s">
        <v>125</v>
      </c>
      <c r="G8" s="1"/>
    </row>
    <row r="9" customFormat="false" ht="15" hidden="false" customHeight="false" outlineLevel="0" collapsed="false">
      <c r="A9" s="1"/>
      <c r="B9" s="6" t="s">
        <v>126</v>
      </c>
      <c r="C9" s="29" t="s">
        <v>122</v>
      </c>
      <c r="D9" s="29" t="s">
        <v>122</v>
      </c>
      <c r="E9" s="7" t="n">
        <v>340</v>
      </c>
      <c r="F9" s="10" t="s">
        <v>127</v>
      </c>
      <c r="G9" s="1"/>
    </row>
    <row r="10" customFormat="false" ht="15" hidden="false" customHeight="false" outlineLevel="0" collapsed="false">
      <c r="A10" s="1"/>
      <c r="B10" s="6" t="s">
        <v>128</v>
      </c>
      <c r="C10" s="7" t="n">
        <v>30059.5</v>
      </c>
      <c r="D10" s="7" t="n">
        <v>23357.15</v>
      </c>
      <c r="E10" s="7" t="n">
        <v>28128.56</v>
      </c>
      <c r="F10" s="10" t="s">
        <v>129</v>
      </c>
      <c r="G10" s="1"/>
    </row>
    <row r="11" customFormat="false" ht="15" hidden="false" customHeight="false" outlineLevel="0" collapsed="false">
      <c r="A11" s="1"/>
      <c r="B11" s="6" t="s">
        <v>130</v>
      </c>
      <c r="C11" s="7" t="n">
        <v>3815.71</v>
      </c>
      <c r="D11" s="7" t="n">
        <v>5645.13</v>
      </c>
      <c r="E11" s="7" t="n">
        <v>8318.25</v>
      </c>
      <c r="F11" s="10" t="s">
        <v>131</v>
      </c>
      <c r="G11" s="1"/>
    </row>
    <row r="12" customFormat="false" ht="15" hidden="false" customHeight="false" outlineLevel="0" collapsed="false">
      <c r="A12" s="1"/>
      <c r="B12" s="6" t="s">
        <v>132</v>
      </c>
      <c r="C12" s="7" t="n">
        <v>28031.65</v>
      </c>
      <c r="D12" s="7" t="n">
        <v>28789.86</v>
      </c>
      <c r="E12" s="7" t="n">
        <v>34975.39</v>
      </c>
      <c r="F12" s="10" t="s">
        <v>129</v>
      </c>
      <c r="G12" s="1"/>
    </row>
    <row r="13" customFormat="false" ht="15" hidden="false" customHeight="false" outlineLevel="0" collapsed="false">
      <c r="A13" s="1"/>
      <c r="B13" s="6" t="s">
        <v>133</v>
      </c>
      <c r="C13" s="7" t="n">
        <v>1309449.56</v>
      </c>
      <c r="D13" s="7" t="n">
        <v>1596000.83</v>
      </c>
      <c r="E13" s="7" t="n">
        <v>1536437.45</v>
      </c>
      <c r="F13" s="10" t="s">
        <v>134</v>
      </c>
      <c r="G13" s="1"/>
    </row>
    <row r="14" customFormat="false" ht="15" hidden="false" customHeight="false" outlineLevel="0" collapsed="false">
      <c r="A14" s="1"/>
      <c r="B14" s="6" t="s">
        <v>135</v>
      </c>
      <c r="C14" s="7" t="n">
        <v>2660.1</v>
      </c>
      <c r="D14" s="7" t="n">
        <v>10226.82</v>
      </c>
      <c r="E14" s="7" t="n">
        <v>3824.77</v>
      </c>
      <c r="F14" s="10" t="s">
        <v>136</v>
      </c>
      <c r="G14" s="1"/>
    </row>
    <row r="15" customFormat="false" ht="15" hidden="false" customHeight="false" outlineLevel="0" collapsed="false">
      <c r="A15" s="1"/>
      <c r="B15" s="6" t="s">
        <v>137</v>
      </c>
      <c r="C15" s="7" t="n">
        <v>517731.45</v>
      </c>
      <c r="D15" s="7" t="n">
        <v>552485.77</v>
      </c>
      <c r="E15" s="7" t="n">
        <v>564294.62</v>
      </c>
      <c r="F15" s="10" t="s">
        <v>129</v>
      </c>
      <c r="G15" s="1"/>
    </row>
    <row r="16" customFormat="false" ht="15" hidden="false" customHeight="false" outlineLevel="0" collapsed="false">
      <c r="A16" s="1"/>
      <c r="B16" s="6" t="s">
        <v>138</v>
      </c>
      <c r="C16" s="29" t="s">
        <v>122</v>
      </c>
      <c r="D16" s="29" t="s">
        <v>122</v>
      </c>
      <c r="E16" s="7" t="n">
        <v>17.8</v>
      </c>
      <c r="F16" s="10" t="s">
        <v>139</v>
      </c>
      <c r="G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</row>
    <row r="18" customFormat="false" ht="15" hidden="false" customHeight="false" outlineLevel="0" collapsed="false">
      <c r="A18" s="1"/>
      <c r="B18" s="17" t="s">
        <v>140</v>
      </c>
      <c r="C18" s="1"/>
      <c r="D18" s="1"/>
      <c r="E18" s="1"/>
      <c r="F18" s="1"/>
      <c r="G18" s="1"/>
    </row>
    <row r="19" customFormat="false" ht="15" hidden="false" customHeight="false" outlineLevel="0" collapsed="false">
      <c r="A19" s="1"/>
      <c r="B19" s="1" t="s">
        <v>141</v>
      </c>
      <c r="C19" s="1"/>
      <c r="D19" s="1"/>
      <c r="E19" s="1"/>
      <c r="F19" s="1"/>
      <c r="G19" s="1"/>
    </row>
    <row r="20" customFormat="false" ht="15" hidden="false" customHeight="false" outlineLevel="0" collapsed="false">
      <c r="A20" s="1"/>
      <c r="B20" s="1" t="s">
        <v>142</v>
      </c>
      <c r="C20" s="1"/>
      <c r="D20" s="1"/>
      <c r="E20" s="1"/>
      <c r="F20" s="1"/>
      <c r="G20" s="1"/>
    </row>
    <row r="21" customFormat="false" ht="15" hidden="false" customHeight="false" outlineLevel="0" collapsed="false">
      <c r="A21" s="1"/>
      <c r="B21" s="1" t="s">
        <v>143</v>
      </c>
      <c r="C21" s="1"/>
      <c r="D21" s="1"/>
      <c r="E21" s="1"/>
      <c r="F21" s="1"/>
      <c r="G21" s="1"/>
    </row>
    <row r="22" customFormat="false" ht="15" hidden="false" customHeight="false" outlineLevel="0" collapsed="false">
      <c r="A22" s="1"/>
      <c r="B22" s="1" t="s">
        <v>144</v>
      </c>
      <c r="C22" s="1"/>
      <c r="D22" s="1"/>
      <c r="E22" s="1"/>
      <c r="F22" s="1"/>
      <c r="G22" s="1"/>
    </row>
    <row r="23" customFormat="false" ht="15" hidden="false" customHeight="false" outlineLevel="0" collapsed="false">
      <c r="A23" s="1"/>
      <c r="B23" s="1" t="s">
        <v>145</v>
      </c>
      <c r="C23" s="1"/>
      <c r="D23" s="1"/>
      <c r="E23" s="1"/>
      <c r="F23" s="1"/>
      <c r="G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2026-07-28T14:43:39Z</dcterms:created>
  <dc:creator>openpyxl</dc:creator>
  <dc:description/>
  <dc:language>en-US</dc:language>
  <cp:lastModifiedBy/>
  <dcterms:modified xsi:type="dcterms:W3CDTF">2026-07-28T14:43:39Z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