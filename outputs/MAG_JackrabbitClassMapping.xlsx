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ndings" sheetId="1" state="visible" r:id="rId3"/>
    <sheet name="Class Export (mapped)" sheetId="2" state="visible" r:id="rId4"/>
    <sheet name="Service Summary" sheetId="3" state="visible" r:id="rId5"/>
    <sheet name="Crosswalk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<sst xmlns="http://schemas.openxmlformats.org/spreadsheetml/2006/main" count="2419" uniqueCount="414">
  <si>
    <t xml:space="preserve">Jackrabbit Class List — Reconciliation Findings</t>
  </si>
  <si>
    <t xml:space="preserve">Source: ClassesListReport.xls · 176 classes · exported 28 July 2026</t>
  </si>
  <si>
    <t xml:space="preserve">HEADLINE</t>
  </si>
  <si>
    <t xml:space="preserve">The categories DO support your nine service rows — with two structural exceptions you need to decide on.</t>
  </si>
  <si>
    <t xml:space="preserve">But this export contains NO 2023, 2024 or 2025 classes. It is the current session only.</t>
  </si>
  <si>
    <t xml:space="preserve">1. Category 1 separates Rec from Team cleanly</t>
  </si>
  <si>
    <t xml:space="preserve">Recreational 155  ·  Team 18  ·  Staff 3.  My earlier read off your screenshot was wrong — Cat1 is not</t>
  </si>
  <si>
    <t xml:space="preserve">uniformly 'Recreational'. It does carry the top-level split.</t>
  </si>
  <si>
    <t xml:space="preserve">2. Category 2 is the service-level key</t>
  </si>
  <si>
    <t xml:space="preserve">Rec Girls 86  ·  Pre-School 36  ·  Rec Boys 12  ·  Tumble (Combined) 12  ·  Parent-Child 9  ·  blank 21.</t>
  </si>
  <si>
    <t xml:space="preserve">These map onto four of your rows with no ambiguity. Parent-Child (First Flight) folds into Preschool.</t>
  </si>
  <si>
    <t xml:space="preserve">The 21 blanks are exactly the 18 Team + 3 Staff classes — Team carries no Cat2 or Cat3 at all.</t>
  </si>
  <si>
    <t xml:space="preserve">3. TEAM IS DOUBLE-ENROLLED BY DESIGN — the important one</t>
  </si>
  <si>
    <t xml:space="preserve">Only 7 of the 18 Team classes carry tuition. They are hour-tier billing groups:</t>
  </si>
  <si>
    <t xml:space="preserve">     1 Day $255  ·  6 hrs $310  ·  2 days $350  ·  9 hrs $385  ·  12 hr $440  ·  16 hrs $485  ·  20 hrs $543</t>
  </si>
  <si>
    <t xml:space="preserve">The other 11 are $0 containers — 'MAG Team 2026-27' (77 enrolled) plus practice groups (Xcel Silver/Gold/</t>
  </si>
  <si>
    <t xml:space="preserve">Platinum/Diamond, WDP L3/L4/Optionals, Mens Devo, Womens Devo).</t>
  </si>
  <si>
    <t xml:space="preserve">Team athletes sit in a billing group AND a practice group AND the roster. Summing enrollment across all 18</t>
  </si>
  <si>
    <t xml:space="preserve">would triple-count them. Team revenue = the 7 billing groups only (74 enrolled). Use practice groups for</t>
  </si>
  <si>
    <t xml:space="preserve">headcount and level mix, never for revenue.</t>
  </si>
  <si>
    <t xml:space="preserve">Consequence: you CANNOT split team revenue girls vs boys. Billing groups are gender-blind. Headcount can be</t>
  </si>
  <si>
    <t xml:space="preserve">inferred (Mens Devo 13 vs everything else) but the dollars cannot.</t>
  </si>
  <si>
    <t xml:space="preserve">4. Pre-Team barely exists as a service line</t>
  </si>
  <si>
    <t xml:space="preserve">Only 2 classes are tagged PT in Cat3: 'Hot Shots' (Girls PT1, 9 enrolled, $310) and 'Boys Advanced 2 hr'</t>
  </si>
  <si>
    <t xml:space="preserve">(Boys PT2, 1 enrolled, $200). Both sit under Rec Girls / Rec Boys in Cat2, so I applied a Cat3 override.</t>
  </si>
  <si>
    <t xml:space="preserve">10 students total. Consider folding this row into the rec rows — it will not carry a meaningful trend.</t>
  </si>
  <si>
    <t xml:space="preserve">5. Summer Intensives are a separate product priced differently</t>
  </si>
  <si>
    <t xml:space="preserve">11 classes in '2026 Summer Intensive' — the website's Summer Mini-Sessions. Flat 6-week fees ($183–$300),</t>
  </si>
  <si>
    <t xml:space="preserve">not monthly tuition. They carry the same Cat2 values as the year-round classes, so they will blend into</t>
  </si>
  <si>
    <t xml:space="preserve">your rec rows and distort Avg. Transaction Value unless separated. Flagged 'OK - summer session'.</t>
  </si>
  <si>
    <t xml:space="preserve">6. Thirty-six classes carry $0 tuition</t>
  </si>
  <si>
    <t xml:space="preserve">22 Recreational  ·  11 Team  ·  3 Staff. Waitlists, roster containers, practice groups and staff</t>
  </si>
  <si>
    <t xml:space="preserve">placeholders. Excluded from pricing via the 'Billable' column so they do not drag the averages to zero.</t>
  </si>
  <si>
    <t xml:space="preserve">7. NO HISTORICAL DATA IN THIS EXPORT</t>
  </si>
  <si>
    <t xml:space="preserve">Session mix: 2026-27 Rec 144  ·  2026-27 Team 18  ·  2026 Summer Intensive 11  ·  2025-26 Rec 1  ·  blank 2.</t>
  </si>
  <si>
    <t xml:space="preserve">There is not a single 2023, 2024 or 2025 class here. This file gives you current price and current</t>
  </si>
  <si>
    <t xml:space="preserve">enrollment — nothing for the three-year comparison.</t>
  </si>
  <si>
    <t xml:space="preserve">The 2023–2025 numbers must come from the revenue and transaction reports filtered by date range, not from</t>
  </si>
  <si>
    <t xml:space="preserve">the class list. Re-run the class list with archived sessions included if you also want historical prices.</t>
  </si>
  <si>
    <t xml:space="preserve">8. Fill rate — a genuine finding, available right now</t>
  </si>
  <si>
    <t xml:space="preserve">Tumbling 81.6%  ·  Preschool 77.0%  ·  Rec Girls 69.8%  ·  Parent-Child 58.3%  ·  Rec Boys 51.5%</t>
  </si>
  <si>
    <t xml:space="preserve">Rec Boys is running about half empty across 12 classes. Since coach cost is fixed once a class runs, those</t>
  </si>
  <si>
    <t xml:space="preserve">empty seats are pure lost margin — likely the single highest-leverage item in the whole analysis.</t>
  </si>
  <si>
    <t xml:space="preserve">WHAT I NEED FROM YOU NEXT</t>
  </si>
  <si>
    <t xml:space="preserve">a)  Decide: keep Pre-Team as its own row, or fold into rec?</t>
  </si>
  <si>
    <t xml:space="preserve">b)  Decide: Summer Intensives as their own row, or blended into the rec rows?</t>
  </si>
  <si>
    <t xml:space="preserve">c)  Pull the revenue reports for calendar 2023, 2024 and 2025 (Revenue Summary or Class/Event Revenue),</t>
  </si>
  <si>
    <t xml:space="preserve">     on a consistent basis (billed or collected), so I can fill the three-year sheet.</t>
  </si>
  <si>
    <t xml:space="preserve">Class Export — mapped to service rows</t>
  </si>
  <si>
    <t xml:space="preserve">Class</t>
  </si>
  <si>
    <t xml:space="preserve">Cat1</t>
  </si>
  <si>
    <t xml:space="preserve">Cat2</t>
  </si>
  <si>
    <t xml:space="preserve">Cat3</t>
  </si>
  <si>
    <t xml:space="preserve">Session</t>
  </si>
  <si>
    <t xml:space="preserve">Status</t>
  </si>
  <si>
    <t xml:space="preserve">Instructors</t>
  </si>
  <si>
    <t xml:space="preserve">Days</t>
  </si>
  <si>
    <t xml:space="preserve">Start Time</t>
  </si>
  <si>
    <t xml:space="preserve">Duration</t>
  </si>
  <si>
    <t xml:space="preserve">Tuition</t>
  </si>
  <si>
    <t xml:space="preserve">Enrolled</t>
  </si>
  <si>
    <t xml:space="preserve">Max</t>
  </si>
  <si>
    <t xml:space="preserve">Cat Key</t>
  </si>
  <si>
    <t xml:space="preserve">Maps To</t>
  </si>
  <si>
    <t xml:space="preserve">Billable</t>
  </si>
  <si>
    <t xml:space="preserve">Flag</t>
  </si>
  <si>
    <t xml:space="preserve">MAG Team 2026-27</t>
  </si>
  <si>
    <t xml:space="preserve">Team</t>
  </si>
  <si>
    <t xml:space="preserve">2026-27 Team</t>
  </si>
  <si>
    <t xml:space="preserve">Active</t>
  </si>
  <si>
    <t xml:space="preserve">Jamian W., Susan W., Rigel (Jonathan) L.</t>
  </si>
  <si>
    <t xml:space="preserve">12:00am</t>
  </si>
  <si>
    <t xml:space="preserve">12:00</t>
  </si>
  <si>
    <t xml:space="preserve">Team | (blank)</t>
  </si>
  <si>
    <t xml:space="preserve">Competitive -- American Flyers Teams</t>
  </si>
  <si>
    <t xml:space="preserve">No</t>
  </si>
  <si>
    <t xml:space="preserve">TEAM PRACTICE GRP - $0</t>
  </si>
  <si>
    <t xml:space="preserve">Team 26-27  Xcel Gold 1 Practice Group</t>
  </si>
  <si>
    <t xml:space="preserve">Susan W., Rigel (Jonathan) L., Riley P., Maya L.</t>
  </si>
  <si>
    <t xml:space="preserve">TuThSu</t>
  </si>
  <si>
    <t xml:space="preserve">Team 26-27  Xcel Platinum2/Diamond Practice Group</t>
  </si>
  <si>
    <t xml:space="preserve">Susan W., Rigel (Jonathan) L., Kyla P., Jamian W.</t>
  </si>
  <si>
    <t xml:space="preserve">MTuWSu</t>
  </si>
  <si>
    <t xml:space="preserve">Team 26-27 Billing Group 1 Day</t>
  </si>
  <si>
    <t xml:space="preserve">Yes</t>
  </si>
  <si>
    <t xml:space="preserve">OK</t>
  </si>
  <si>
    <t xml:space="preserve">Team 26-27 Billing Group 12hr</t>
  </si>
  <si>
    <t xml:space="preserve">Team 26-27 Billing Group 16hrs</t>
  </si>
  <si>
    <t xml:space="preserve">Team 26-27 Billing Group 2 days</t>
  </si>
  <si>
    <t xml:space="preserve">Team 26-27 Billing Group 20 hrs</t>
  </si>
  <si>
    <t xml:space="preserve">Team 26-27 Billing Group 6 hrs</t>
  </si>
  <si>
    <t xml:space="preserve">Team 26-27 Billing Group 9 hrs</t>
  </si>
  <si>
    <t xml:space="preserve">Team 26-27 Mens Devo</t>
  </si>
  <si>
    <t xml:space="preserve">Rigel (Jonathan) L., Jamian W., Ryan A.</t>
  </si>
  <si>
    <t xml:space="preserve">MTuWThFSaSu</t>
  </si>
  <si>
    <t xml:space="preserve">3:30pm</t>
  </si>
  <si>
    <t xml:space="preserve">4:00</t>
  </si>
  <si>
    <t xml:space="preserve">Team 26-27 WDP L3</t>
  </si>
  <si>
    <t xml:space="preserve">Denae C., Jamian W., Alexa A., Kyla P.</t>
  </si>
  <si>
    <t xml:space="preserve">TuThSa</t>
  </si>
  <si>
    <t xml:space="preserve">Team 26-27 WDP L4</t>
  </si>
  <si>
    <t xml:space="preserve">Jamian W., Denae C., Alexa A., Kyla P.</t>
  </si>
  <si>
    <t xml:space="preserve">Team 26-27 WDP Optionals</t>
  </si>
  <si>
    <t xml:space="preserve">Alexa A., Jamian W., Denae C.</t>
  </si>
  <si>
    <t xml:space="preserve">MTuWThSa</t>
  </si>
  <si>
    <t xml:space="preserve">2:45pm</t>
  </si>
  <si>
    <t xml:space="preserve">Team 26-27 Womens Devo</t>
  </si>
  <si>
    <t xml:space="preserve">Team 26-27 Xcel</t>
  </si>
  <si>
    <t xml:space="preserve">Susan W., Jamian W., Kyla P., Rigel (Jonathan) L.</t>
  </si>
  <si>
    <t xml:space="preserve">Team 26-27 Xcel Gold2/Platinum 1 Practice Group</t>
  </si>
  <si>
    <t xml:space="preserve">MWSu</t>
  </si>
  <si>
    <t xml:space="preserve">Team 26-27 Xcel Silver Practice Group</t>
  </si>
  <si>
    <t xml:space="preserve">Susan W., Rigel (Jonathan) L., Jamian W., Kyla P.</t>
  </si>
  <si>
    <t xml:space="preserve">Boys Advanced 2 hr</t>
  </si>
  <si>
    <t xml:space="preserve">Recreational</t>
  </si>
  <si>
    <t xml:space="preserve">Rec Boys</t>
  </si>
  <si>
    <t xml:space="preserve">Boys PT2</t>
  </si>
  <si>
    <t xml:space="preserve">2026-27 Rec</t>
  </si>
  <si>
    <t xml:space="preserve">Nyx W., MAG A.</t>
  </si>
  <si>
    <t xml:space="preserve">5:30pm</t>
  </si>
  <si>
    <t xml:space="preserve">2:00</t>
  </si>
  <si>
    <t xml:space="preserve">Recreational | Rec Boys</t>
  </si>
  <si>
    <t xml:space="preserve">Competitive -- Pre-Team</t>
  </si>
  <si>
    <t xml:space="preserve">Hot Shots</t>
  </si>
  <si>
    <t xml:space="preserve">Rec Girls</t>
  </si>
  <si>
    <t xml:space="preserve">Girls PT1</t>
  </si>
  <si>
    <t xml:space="preserve">Kyla P., Riley P., Jamian W., MAG A.</t>
  </si>
  <si>
    <t xml:space="preserve">MW</t>
  </si>
  <si>
    <t xml:space="preserve">3:00</t>
  </si>
  <si>
    <t xml:space="preserve">Recreational | Rec Girls</t>
  </si>
  <si>
    <t xml:space="preserve">MAG STAFF</t>
  </si>
  <si>
    <t xml:space="preserve">Staff</t>
  </si>
  <si>
    <t xml:space="preserve">2025-26 Rec</t>
  </si>
  <si>
    <t xml:space="preserve">Alexa A., Jamian W., Nicole  E., Lisa (Alyssa) A.</t>
  </si>
  <si>
    <t xml:space="preserve">Staff | (blank)</t>
  </si>
  <si>
    <t xml:space="preserve">EXCLUDE -- Staff placeholder</t>
  </si>
  <si>
    <t xml:space="preserve">EXCLUDED - not revenue</t>
  </si>
  <si>
    <t xml:space="preserve">Tuesday Staff</t>
  </si>
  <si>
    <t xml:space="preserve">On Hold</t>
  </si>
  <si>
    <t xml:space="preserve">Jamian W.</t>
  </si>
  <si>
    <t xml:space="preserve">Tu</t>
  </si>
  <si>
    <t xml:space="preserve">8:30am</t>
  </si>
  <si>
    <t xml:space="preserve">Wednesday Staff</t>
  </si>
  <si>
    <t xml:space="preserve">W</t>
  </si>
  <si>
    <t xml:space="preserve">Boys Red Wings  M 3:45p</t>
  </si>
  <si>
    <t xml:space="preserve">Boys B1</t>
  </si>
  <si>
    <t xml:space="preserve">Abram K., MAG A.</t>
  </si>
  <si>
    <t xml:space="preserve">M</t>
  </si>
  <si>
    <t xml:space="preserve">3:45pm</t>
  </si>
  <si>
    <t xml:space="preserve">1:15</t>
  </si>
  <si>
    <t xml:space="preserve">Recreational -- Boys Wings</t>
  </si>
  <si>
    <t xml:space="preserve">Boys Red Wings F 4:15p (5-7yrs)</t>
  </si>
  <si>
    <t xml:space="preserve">Michael K., MAG A.</t>
  </si>
  <si>
    <t xml:space="preserve">F</t>
  </si>
  <si>
    <t xml:space="preserve">4:15pm</t>
  </si>
  <si>
    <t xml:space="preserve">Boys Red Wings F 5:45p</t>
  </si>
  <si>
    <t xml:space="preserve">5:45pm</t>
  </si>
  <si>
    <t xml:space="preserve">Boys Red Wings W 4:00p</t>
  </si>
  <si>
    <t xml:space="preserve">4:00pm</t>
  </si>
  <si>
    <t xml:space="preserve">Boys Red Wings W 5:30p</t>
  </si>
  <si>
    <t xml:space="preserve">Boys Red Wings Waitlist</t>
  </si>
  <si>
    <t xml:space="preserve">NO TUITION</t>
  </si>
  <si>
    <t xml:space="preserve">Boys Red Wings Waitlist-Level Adjustment</t>
  </si>
  <si>
    <t xml:space="preserve">Boys White Wings  Waitlist - Level Adjustment</t>
  </si>
  <si>
    <t xml:space="preserve">Boys B2</t>
  </si>
  <si>
    <t xml:space="preserve">Boys White Wings F 3:45p</t>
  </si>
  <si>
    <t xml:space="preserve">1:30</t>
  </si>
  <si>
    <t xml:space="preserve">Boys White Wings Su 11:30a Starts 9/13</t>
  </si>
  <si>
    <t xml:space="preserve">Su</t>
  </si>
  <si>
    <t xml:space="preserve">11:30am</t>
  </si>
  <si>
    <t xml:space="preserve">Summer 2026 Boys White Wings W 3:45 - 6 weeks</t>
  </si>
  <si>
    <t xml:space="preserve">2026 Summer Intensive</t>
  </si>
  <si>
    <t xml:space="preserve">Kjeld N., MAG A.</t>
  </si>
  <si>
    <t xml:space="preserve">OK - summer session</t>
  </si>
  <si>
    <t xml:space="preserve">Kinder Red Wings M 3:45p</t>
  </si>
  <si>
    <t xml:space="preserve">Girls G1</t>
  </si>
  <si>
    <t xml:space="preserve">Faith F., MAG A.</t>
  </si>
  <si>
    <t xml:space="preserve">Recreational -- Girls Wings</t>
  </si>
  <si>
    <t xml:space="preserve">Kinder Red Wings M 5:00p</t>
  </si>
  <si>
    <t xml:space="preserve">Ruthie G., MAG A.</t>
  </si>
  <si>
    <t xml:space="preserve">5:00pm</t>
  </si>
  <si>
    <t xml:space="preserve">Kinder Red Wings S 11:45a starts 9/12</t>
  </si>
  <si>
    <t xml:space="preserve">Amelia K., MAG A.</t>
  </si>
  <si>
    <t xml:space="preserve">Sa</t>
  </si>
  <si>
    <t xml:space="preserve">11:45am</t>
  </si>
  <si>
    <t xml:space="preserve">Kinder Red Wings Su 3:00p starts 9/13</t>
  </si>
  <si>
    <t xml:space="preserve">3:00pm</t>
  </si>
  <si>
    <t xml:space="preserve">Kinder Red Wings T 3:45p</t>
  </si>
  <si>
    <t xml:space="preserve">Danica C., MAG A.</t>
  </si>
  <si>
    <t xml:space="preserve">Kinder Red Wings Th 3:45p</t>
  </si>
  <si>
    <t xml:space="preserve">Claire S., MAG A.</t>
  </si>
  <si>
    <t xml:space="preserve">Th</t>
  </si>
  <si>
    <t xml:space="preserve">Kinder Red Wings W 3:45p</t>
  </si>
  <si>
    <t xml:space="preserve">Kinder Red Wings/Beginner W 5:00p</t>
  </si>
  <si>
    <t xml:space="preserve">Kinder Red Wings/Beginner Waitlist (Kindergarten) </t>
  </si>
  <si>
    <t xml:space="preserve">Kinder Red Wings/Beginner Waitlist (Kindergarten) -Level Adjustment</t>
  </si>
  <si>
    <t xml:space="preserve">Red Wings/Beginner  Waitlist (6-8yrs)</t>
  </si>
  <si>
    <t xml:space="preserve">Red Wings/Beginner F 4:00p </t>
  </si>
  <si>
    <t xml:space="preserve">Mila T., MAG A.</t>
  </si>
  <si>
    <t xml:space="preserve">Red Wings/Beginner F 5:30p</t>
  </si>
  <si>
    <t xml:space="preserve">Red Wings/Beginner M 3:45p</t>
  </si>
  <si>
    <t xml:space="preserve">Nicole  E., MAG A.</t>
  </si>
  <si>
    <t xml:space="preserve">Red Wings/Beginner M 5:00p </t>
  </si>
  <si>
    <t xml:space="preserve">Niamh M., MAG A.</t>
  </si>
  <si>
    <t xml:space="preserve">Red Wings/Beginner S 11:45a (6-8yrs) Starts 9/12</t>
  </si>
  <si>
    <t xml:space="preserve">Red Wings/Beginner S 1:00p (6-8yrs) Starts 9/12</t>
  </si>
  <si>
    <t xml:space="preserve">1:00pm</t>
  </si>
  <si>
    <t xml:space="preserve">Red Wings/Beginner T 3:45p (6-8yrs)</t>
  </si>
  <si>
    <t xml:space="preserve">Riley C., MAG A.</t>
  </si>
  <si>
    <t xml:space="preserve">Red Wings/Beginner T 5:15p </t>
  </si>
  <si>
    <t xml:space="preserve">Kate P., MAG A.</t>
  </si>
  <si>
    <t xml:space="preserve">5:15pm</t>
  </si>
  <si>
    <t xml:space="preserve">Red Wings/Beginner Th 3:45p (6-8yrs)</t>
  </si>
  <si>
    <t xml:space="preserve">Red Wings/Beginner Th 5:00p (6-8yrs)</t>
  </si>
  <si>
    <t xml:space="preserve">Red Wings/Beginner W 3:45p </t>
  </si>
  <si>
    <t xml:space="preserve">Kaylee H., MAG A.</t>
  </si>
  <si>
    <t xml:space="preserve">Red Wings/Beginner W 5:00p</t>
  </si>
  <si>
    <t xml:space="preserve">Red Wings/Beginner Waitlist (6-8yrs)-Level Adjustment</t>
  </si>
  <si>
    <t xml:space="preserve">Red Wings/Beginner Waitlist (8+yrs)</t>
  </si>
  <si>
    <t xml:space="preserve">Summer 2026 Red Wings Intensive Th 3:45p - 6 weeks</t>
  </si>
  <si>
    <t xml:space="preserve">Joelle R., MAG A.</t>
  </si>
  <si>
    <t xml:space="preserve">Summer 2026 Red Wings Intensive Th 5:00p - 6 weeks</t>
  </si>
  <si>
    <t xml:space="preserve">Summer 2026 Red Wings Intensive/flex drop-in M 3:45p - 6 Weeks</t>
  </si>
  <si>
    <t xml:space="preserve">Kinder White Wings/Intermediate Waitlist (Coach recommendation only - not displayed on website)</t>
  </si>
  <si>
    <t xml:space="preserve">Girls G2</t>
  </si>
  <si>
    <t xml:space="preserve">Kinder White/Intermediate F 4:00p</t>
  </si>
  <si>
    <t xml:space="preserve">Kinder White/Intermediate Th 5:00p</t>
  </si>
  <si>
    <t xml:space="preserve">Summer 2026 White Wings Intensive T 5:15p - 6 weeks</t>
  </si>
  <si>
    <t xml:space="preserve">Summer 2026 White Wings Intensive W 6:30p - 6 weeks</t>
  </si>
  <si>
    <t xml:space="preserve">6:30pm</t>
  </si>
  <si>
    <t xml:space="preserve">White Wings/Intermediate F 3:45p</t>
  </si>
  <si>
    <t xml:space="preserve">White Wings/Intermediate F 5:30p</t>
  </si>
  <si>
    <t xml:space="preserve">White Wings/Intermediate M 3:45p</t>
  </si>
  <si>
    <t xml:space="preserve">Kjeld N., MAG A., Mila T.</t>
  </si>
  <si>
    <t xml:space="preserve">White Wings/Intermediate M 3:45p*</t>
  </si>
  <si>
    <t xml:space="preserve">Mila T., Kjeld N., MAG A.</t>
  </si>
  <si>
    <t xml:space="preserve">White Wings/Intermediate M 5:00p</t>
  </si>
  <si>
    <t xml:space="preserve">Abram K., Kjeld N., MAG A.</t>
  </si>
  <si>
    <t xml:space="preserve">White Wings/Intermediate M 5:00p*</t>
  </si>
  <si>
    <t xml:space="preserve">Kjeld N., Abram K., MAG A.</t>
  </si>
  <si>
    <t xml:space="preserve">White Wings/Intermediate M 6:30p</t>
  </si>
  <si>
    <t xml:space="preserve">White Wings/Intermediate S 1:00p starts 9/12</t>
  </si>
  <si>
    <t xml:space="preserve">White Wings/Intermediate Su 1:00p starts 9/13</t>
  </si>
  <si>
    <t xml:space="preserve">Zevon D., MAG A.</t>
  </si>
  <si>
    <t xml:space="preserve">White Wings/Intermediate T 3:45p</t>
  </si>
  <si>
    <t xml:space="preserve">Kate P., Joelle R., MAG A.</t>
  </si>
  <si>
    <t xml:space="preserve">White Wings/Intermediate T 3:45p*</t>
  </si>
  <si>
    <t xml:space="preserve">Joelle R., Kate P., MAG A.</t>
  </si>
  <si>
    <t xml:space="preserve">White Wings/Intermediate T 5:15p</t>
  </si>
  <si>
    <t xml:space="preserve">White Wings/Intermediate T 6:30p</t>
  </si>
  <si>
    <t xml:space="preserve">White Wings/Intermediate Th 5:00p</t>
  </si>
  <si>
    <t xml:space="preserve">White Wings/Intermediate Th 6:30p</t>
  </si>
  <si>
    <t xml:space="preserve">White Wings/Intermediate W 3:45p</t>
  </si>
  <si>
    <t xml:space="preserve">, MAG A.</t>
  </si>
  <si>
    <t xml:space="preserve">Abram K., Mila T., MAG A.</t>
  </si>
  <si>
    <t xml:space="preserve">White Wings/Intermediate W 5:00p</t>
  </si>
  <si>
    <t xml:space="preserve">White Wings/Intermediate W 5:00p*</t>
  </si>
  <si>
    <t xml:space="preserve">Mila T., Abram K., MAG A.</t>
  </si>
  <si>
    <t xml:space="preserve">White Wings/Intermediate W 6:30p</t>
  </si>
  <si>
    <t xml:space="preserve">White Wings/Intermediate Waitlist-Level Adjustment</t>
  </si>
  <si>
    <t xml:space="preserve">Blue Wings/Advanced F 5:30p </t>
  </si>
  <si>
    <t xml:space="preserve">Girls G3</t>
  </si>
  <si>
    <t xml:space="preserve">Faith F., Teall (Gentile) D., MAG A.</t>
  </si>
  <si>
    <t xml:space="preserve">1:45</t>
  </si>
  <si>
    <t xml:space="preserve">Blue Wings/Advanced F 5:30p*</t>
  </si>
  <si>
    <t xml:space="preserve">Teall (Gentile) D., Faith F., MAG A.</t>
  </si>
  <si>
    <t xml:space="preserve">Blue Wings/Advanced M 3:30p </t>
  </si>
  <si>
    <t xml:space="preserve">Bethany W., MAG A.</t>
  </si>
  <si>
    <t xml:space="preserve">Blue Wings/Advanced M 5:00p</t>
  </si>
  <si>
    <t xml:space="preserve">Blue Wings/Advanced M 6:30p</t>
  </si>
  <si>
    <t xml:space="preserve">Blue Wings/Advanced S11:45a Start 9/12</t>
  </si>
  <si>
    <t xml:space="preserve">Blue Wings/Advanced Su 2:15p Starts 9/13</t>
  </si>
  <si>
    <t xml:space="preserve">Zevon D., Nyx W., MAG A.</t>
  </si>
  <si>
    <t xml:space="preserve">2:15pm</t>
  </si>
  <si>
    <t xml:space="preserve">Blue Wings/Advanced Su 2:15p* Starts 9/13</t>
  </si>
  <si>
    <t xml:space="preserve">Nyx W., Zevon D., MAG A.</t>
  </si>
  <si>
    <t xml:space="preserve">Blue Wings/Advanced T 5:15p</t>
  </si>
  <si>
    <t xml:space="preserve">Blue Wings/Advanced Th 3:45p</t>
  </si>
  <si>
    <t xml:space="preserve">Blue Wings/Advanced Th 5:00p</t>
  </si>
  <si>
    <t xml:space="preserve">Blue Wings/Advanced Th 6:30p </t>
  </si>
  <si>
    <t xml:space="preserve">Blue Wings/Advanced W 5:00p</t>
  </si>
  <si>
    <t xml:space="preserve">Blue Wings/Advanced W 6:30p</t>
  </si>
  <si>
    <t xml:space="preserve">Faith F., Kjeld N., MAG A.</t>
  </si>
  <si>
    <t xml:space="preserve">Blue Wings/Advanced W 6:30p*</t>
  </si>
  <si>
    <t xml:space="preserve">Kjeld N., Faith F., MAG A.</t>
  </si>
  <si>
    <t xml:space="preserve">Blue Wings/Advanced Waitlist-Level Adjustment</t>
  </si>
  <si>
    <t xml:space="preserve">Summer 2026 Blue Wings Intensive T 5:15p - 6 weeks</t>
  </si>
  <si>
    <t xml:space="preserve">Silver Wings/Elite F 3:45p </t>
  </si>
  <si>
    <t xml:space="preserve">Girls G4</t>
  </si>
  <si>
    <t xml:space="preserve">Teall (Gentile) D., MAG A.</t>
  </si>
  <si>
    <t xml:space="preserve">Silver Wings/Elite M 5:00p</t>
  </si>
  <si>
    <t xml:space="preserve">Silver Wings/Elite T 4:30</t>
  </si>
  <si>
    <t xml:space="preserve">4:30pm</t>
  </si>
  <si>
    <t xml:space="preserve">Silver Wings/Elite T 6:30p</t>
  </si>
  <si>
    <t xml:space="preserve">Silver Wings/Elite Th 6:30p </t>
  </si>
  <si>
    <t xml:space="preserve">Silver Wings/Elite W 6:30p</t>
  </si>
  <si>
    <t xml:space="preserve">Silver Wings/Elite Waitlist-Level Adjustment</t>
  </si>
  <si>
    <t xml:space="preserve">Summer 2026 Silver/Gold Wings Intensive F 3:45p - 6 weeks</t>
  </si>
  <si>
    <t xml:space="preserve">Gold Wing/Elite Plus Waitlist-Level Adjustment</t>
  </si>
  <si>
    <t xml:space="preserve">Girls G5</t>
  </si>
  <si>
    <t xml:space="preserve">Gold Wings/Elite Plus M 5:30p</t>
  </si>
  <si>
    <t xml:space="preserve">Gold Wings/Elite Plus S 12:30p</t>
  </si>
  <si>
    <t xml:space="preserve">Kyla P., MAG A.</t>
  </si>
  <si>
    <t xml:space="preserve">12:30pm</t>
  </si>
  <si>
    <t xml:space="preserve">Gold Wings/Elite Plus T 6:30p </t>
  </si>
  <si>
    <t xml:space="preserve">Gold Wings/Elite Plus W 4:30p</t>
  </si>
  <si>
    <t xml:space="preserve">Gold Wings/Elite Th 6:30p</t>
  </si>
  <si>
    <t xml:space="preserve">First Flight M 10:15a</t>
  </si>
  <si>
    <t xml:space="preserve">Parent-Child</t>
  </si>
  <si>
    <t xml:space="preserve">PC1</t>
  </si>
  <si>
    <t xml:space="preserve">Paul A., MAG A.</t>
  </si>
  <si>
    <t xml:space="preserve">10:15am</t>
  </si>
  <si>
    <t xml:space="preserve">1:00</t>
  </si>
  <si>
    <t xml:space="preserve">Recreational | Parent-Child</t>
  </si>
  <si>
    <t xml:space="preserve">Recreational -- Preschool (The Jungle)</t>
  </si>
  <si>
    <t xml:space="preserve">First Flight M 9:00a</t>
  </si>
  <si>
    <t xml:space="preserve">9:00am</t>
  </si>
  <si>
    <t xml:space="preserve">First Flight S10:15a Starts 9/12</t>
  </si>
  <si>
    <t xml:space="preserve">First Flight S9:00a Starts 9/12</t>
  </si>
  <si>
    <t xml:space="preserve">First Flight T 10:15a</t>
  </si>
  <si>
    <t xml:space="preserve">Alexa A., MAG A.</t>
  </si>
  <si>
    <t xml:space="preserve">First Flight T 9:00a</t>
  </si>
  <si>
    <t xml:space="preserve">First Flight Th 9:00a</t>
  </si>
  <si>
    <t xml:space="preserve">First Flight W 9:00a STARTS 9/9/26</t>
  </si>
  <si>
    <t xml:space="preserve">Jennifer Y., MAG A.</t>
  </si>
  <si>
    <t xml:space="preserve">First Flight Waitlist</t>
  </si>
  <si>
    <t xml:space="preserve">Second Flight F 10:15a</t>
  </si>
  <si>
    <t xml:space="preserve">Pre-School</t>
  </si>
  <si>
    <t xml:space="preserve">PS2</t>
  </si>
  <si>
    <t xml:space="preserve">Recreational | Pre-School</t>
  </si>
  <si>
    <t xml:space="preserve">Second Flight F 9:00a</t>
  </si>
  <si>
    <t xml:space="preserve">Second Flight Level Adjustment Waitlist</t>
  </si>
  <si>
    <t xml:space="preserve">Second Flight M 10:15a </t>
  </si>
  <si>
    <t xml:space="preserve">Second Flight M 9:00a</t>
  </si>
  <si>
    <t xml:space="preserve">Second Flight S 10:15a Start 9/12</t>
  </si>
  <si>
    <t xml:space="preserve">Maya L., MAG A.</t>
  </si>
  <si>
    <t xml:space="preserve">Second Flight S 9:00a Starts 9/12</t>
  </si>
  <si>
    <t xml:space="preserve">Second Flight T 10:15a Starts 9/8</t>
  </si>
  <si>
    <t xml:space="preserve">Jillian J., MAG A.</t>
  </si>
  <si>
    <t xml:space="preserve">Second Flight T 9:00a</t>
  </si>
  <si>
    <t xml:space="preserve">Second Flight Th 10:15a</t>
  </si>
  <si>
    <t xml:space="preserve">Second Flight Th 9:00a</t>
  </si>
  <si>
    <t xml:space="preserve">Roxanne J., MAG A.</t>
  </si>
  <si>
    <t xml:space="preserve">Second Flight W 9:00a</t>
  </si>
  <si>
    <t xml:space="preserve">Second Flight Waitlist</t>
  </si>
  <si>
    <t xml:space="preserve">Soaring Eagles F 10:15a </t>
  </si>
  <si>
    <t xml:space="preserve">PS3</t>
  </si>
  <si>
    <t xml:space="preserve">Soaring Eagles Level Adjustment  Waitlist</t>
  </si>
  <si>
    <t xml:space="preserve">Soaring Eagles M 10:15a</t>
  </si>
  <si>
    <t xml:space="preserve">Soaring Eagles M 2:45 </t>
  </si>
  <si>
    <t xml:space="preserve">Inactive</t>
  </si>
  <si>
    <t xml:space="preserve">Soaring Eagles M 4:00p</t>
  </si>
  <si>
    <t xml:space="preserve">Soaring Eagles M 9:00a</t>
  </si>
  <si>
    <t xml:space="preserve">Soaring Eagles S 10:15a Starts 9/12</t>
  </si>
  <si>
    <t xml:space="preserve">Soaring Eagles S 9:00a Start 9/12</t>
  </si>
  <si>
    <t xml:space="preserve">Soaring Eagles Su 12:00p Starts 9/13</t>
  </si>
  <si>
    <t xml:space="preserve">12:00pm</t>
  </si>
  <si>
    <t xml:space="preserve">Soaring Eagles T 10:15a</t>
  </si>
  <si>
    <t xml:space="preserve">Soaring Eagles T 4:00p  closed for summer</t>
  </si>
  <si>
    <t xml:space="preserve">Soaring Eagles T 9:00a</t>
  </si>
  <si>
    <t xml:space="preserve">Soaring Eagles Th 10:15am</t>
  </si>
  <si>
    <t xml:space="preserve">Soaring Eagles Th 4:00p</t>
  </si>
  <si>
    <t xml:space="preserve">Soaring Eagles Th 5:30p closed for summer</t>
  </si>
  <si>
    <t xml:space="preserve">Soaring Eagles Th 9:00a</t>
  </si>
  <si>
    <t xml:space="preserve">Soaring Eagles W 10:15a</t>
  </si>
  <si>
    <t xml:space="preserve">Soaring Eagles W4:30p</t>
  </si>
  <si>
    <t xml:space="preserve">Soaring Eagles Waitlist</t>
  </si>
  <si>
    <t xml:space="preserve">Advanced preschool watch list</t>
  </si>
  <si>
    <t xml:space="preserve">PS4</t>
  </si>
  <si>
    <t xml:space="preserve">Super Flyers W 10:15a*</t>
  </si>
  <si>
    <t xml:space="preserve">Super Flyers W 5:30p</t>
  </si>
  <si>
    <t xml:space="preserve">Summer 2026 Tumbling Advanced Th 6:30p - 6 weeks</t>
  </si>
  <si>
    <t xml:space="preserve">Tumble (Combined)</t>
  </si>
  <si>
    <t xml:space="preserve">Tumble</t>
  </si>
  <si>
    <t xml:space="preserve">Recreational | Tumble (Combined)</t>
  </si>
  <si>
    <t xml:space="preserve">Recreational -- Tumbling</t>
  </si>
  <si>
    <t xml:space="preserve">Summer 2026 Tumbling Beg/Int T 7:00p - 6 weeks</t>
  </si>
  <si>
    <t xml:space="preserve">7:00pm</t>
  </si>
  <si>
    <t xml:space="preserve">Summer 2026 Tumbling Beginner M 6:30p - 6 weeks</t>
  </si>
  <si>
    <t xml:space="preserve">Tumbling Class - Advance W 3:30p</t>
  </si>
  <si>
    <t xml:space="preserve">Rigel (Jonathan) L., MAG A.</t>
  </si>
  <si>
    <t xml:space="preserve">Tumbling Class - Advanced Su 3:00p Starts 9/13</t>
  </si>
  <si>
    <t xml:space="preserve">Tumbling Class - Advanced Wait list Level Adjustment</t>
  </si>
  <si>
    <t xml:space="preserve">Tumbling Class - Beginner Su 1:00p (5-8yrs) Starts 9/13</t>
  </si>
  <si>
    <t xml:space="preserve">Tumbling Class - Beginner/Intermediate M 6:30p</t>
  </si>
  <si>
    <t xml:space="preserve">Tumbling Class - Beginner/Intermediate W 7:00p</t>
  </si>
  <si>
    <t xml:space="preserve">Tumbling Class - Intermediate Su 2:00p Starts 9/13</t>
  </si>
  <si>
    <t xml:space="preserve">2:00pm</t>
  </si>
  <si>
    <t xml:space="preserve">Tumbling Class - Intermediate Waitlist Level Adjustment</t>
  </si>
  <si>
    <t xml:space="preserve">Tumbling Class-Beginner Waitlist</t>
  </si>
  <si>
    <t xml:space="preserve">Service Summary — live from the Class Export tab</t>
  </si>
  <si>
    <t xml:space="preserve">Billable classes only ($0 and staff placeholders excluded from price columns)</t>
  </si>
  <si>
    <t xml:space="preserve">Service Row</t>
  </si>
  <si>
    <t xml:space="preserve">Classes</t>
  </si>
  <si>
    <t xml:space="preserve">Billable classes</t>
  </si>
  <si>
    <t xml:space="preserve">Capacity</t>
  </si>
  <si>
    <t xml:space="preserve">Fill %</t>
  </si>
  <si>
    <t xml:space="preserve">Min monthly</t>
  </si>
  <si>
    <t xml:space="preserve">Avg monthly</t>
  </si>
  <si>
    <t xml:space="preserve">Max monthly</t>
  </si>
  <si>
    <t xml:space="preserve">TOTAL (excl. staff placeholders)</t>
  </si>
  <si>
    <t xml:space="preserve">Reading these numbers</t>
  </si>
  <si>
    <t xml:space="preserve">Team enrolled counts the 7 billing groups plus the 11 $0 practice/roster groups, so it overstates unique athletes.</t>
  </si>
  <si>
    <t xml:space="preserve">Unique team athletes = the 'MAG Team 2026-27' roster (77). Billing-group enrolment totals 74.</t>
  </si>
  <si>
    <t xml:space="preserve">Tuition is monthly except the 11 Summer Intensive classes, which are flat 6-week fees.</t>
  </si>
  <si>
    <t xml:space="preserve">Source: Jackrabbit Class List export, 176 classes, 28 July 2026. Mapping rules on the Crosswalk tab.</t>
  </si>
  <si>
    <t xml:space="preserve">Mapping rules applied</t>
  </si>
  <si>
    <t xml:space="preserve">Cat3 override</t>
  </si>
  <si>
    <t xml:space="preserve">Maps to service row</t>
  </si>
  <si>
    <t xml:space="preserve">—</t>
  </si>
  <si>
    <t xml:space="preserve">(blank)</t>
  </si>
  <si>
    <t xml:space="preserve">Rows not yet in your nine-row structure:</t>
  </si>
  <si>
    <t xml:space="preserve">Ancillary -- Open Gym  ·  Ancillary -- Annual Membership Fees  ·  Events -- American Flyers Cup</t>
  </si>
  <si>
    <t xml:space="preserve">None of these are classes, so they do not appear in this export. They live in the transaction sub-types instead.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</si>
</sst>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;&quot;($&quot;#,##0\);\-"/>
    <numFmt numFmtId="166" formatCode="#,##0;\(#,##0\);\-"/>
    <numFmt numFmtId="167" formatCode="0.0%;\(0.0%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i val="true"/>
      <sz val="10"/>
      <color rgb="FFC9D1E0"/>
      <name val="Arial"/>
      <family val="0"/>
      <charset val="1"/>
    </font>
    <font>
      <b val="true"/>
      <sz val="11"/>
      <color rgb="FFFFD47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8A8A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C9D1E0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10"/>
      <color rgb="FFFFD47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F3641"/>
        <bgColor rgb="FF1F2937"/>
      </patternFill>
    </fill>
    <fill>
      <patternFill patternType="solid">
        <fgColor rgb="FF8B3DD7"/>
        <bgColor rgb="FF993366"/>
      </patternFill>
    </fill>
    <fill>
      <patternFill patternType="solid">
        <fgColor rgb="FFFFFFFF"/>
        <bgColor rgb="FFFFFFCC"/>
      </patternFill>
    </fill>
    <fill>
      <patternFill patternType="solid">
        <fgColor rgb="FFDCE3F2"/>
        <bgColor rgb="FFD6DEF5"/>
      </patternFill>
    </fill>
    <fill>
      <patternFill patternType="solid">
        <fgColor rgb="FFD6DEF5"/>
        <bgColor rgb="FFDCE3F2"/>
      </patternFill>
    </fill>
    <fill>
      <patternFill patternType="solid">
        <fgColor rgb="FFB9C4DC"/>
        <bgColor rgb="FFC9D1E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AA3B2"/>
      </left>
      <right style="thin">
        <color rgb="FF9AA3B2"/>
      </right>
      <top style="thin">
        <color rgb="FF9AA3B2"/>
      </top>
      <bottom style="thin">
        <color rgb="FF9AA3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4" fillId="6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6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5" borderId="1" xfId="0" applyFont="true" applyBorder="true" applyAlignment="true" applyProtection="false">
      <alignment horizontal="left" vertical="bottom" textRotation="0" wrapText="false" indent="1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bottom" textRotation="0" wrapText="false" indent="1" shrinkToFit="false"/>
      <protection locked="true" hidden="false"/>
    </xf>
    <xf numFmtId="164" fontId="1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4DC"/>
      <rgbColor rgb="FF808080"/>
      <rgbColor rgb="FF9999FF"/>
      <rgbColor rgb="FF8B3DD7"/>
      <rgbColor rgb="FFFFFFCC"/>
      <rgbColor rgb="FFDCE3F2"/>
      <rgbColor rgb="FF660066"/>
      <rgbColor rgb="FFFF8A8A"/>
      <rgbColor rgb="FF0066CC"/>
      <rgbColor rgb="FFC9D1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DEF5"/>
      <rgbColor rgb="FFCCFFCC"/>
      <rgbColor rgb="FFFFFF99"/>
      <rgbColor rgb="FF99CCFF"/>
      <rgbColor rgb="FFFF99CC"/>
      <rgbColor rgb="FFCC99FF"/>
      <rgbColor rgb="FFFFD479"/>
      <rgbColor rgb="FF3366FF"/>
      <rgbColor rgb="FF33CCCC"/>
      <rgbColor rgb="FF99CC00"/>
      <rgbColor rgb="FFFFCC00"/>
      <rgbColor rgb="FFFF9900"/>
      <rgbColor rgb="FFFF6600"/>
      <rgbColor rgb="FF666699"/>
      <rgbColor rgb="FF9AA3B2"/>
      <rgbColor rgb="FF003366"/>
      <rgbColor rgb="FF339966"/>
      <rgbColor rgb="FF003300"/>
      <rgbColor rgb="FF1F2937"/>
      <rgbColor rgb="FF993300"/>
      <rgbColor rgb="FF993366"/>
      <rgbColor rgb="FF333399"/>
      <rgbColor rgb="FF2F364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12"/>
  </cols>
  <sheetData>
    <row r="1" customFormat="false" ht="19.7" hidden="false" customHeight="false" outlineLevel="0" collapsed="false">
      <c r="A1" s="1"/>
      <c r="B1" s="2" t="s">
        <v>0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3" t="s">
        <v>1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1"/>
      <c r="B4" s="4" t="s">
        <v>2</v>
      </c>
      <c r="C4" s="1"/>
      <c r="D4" s="1"/>
      <c r="E4" s="1"/>
      <c r="F4" s="1"/>
      <c r="G4" s="1"/>
      <c r="H4" s="1"/>
    </row>
    <row r="5" customFormat="false" ht="15" hidden="false" customHeight="false" outlineLevel="0" collapsed="false">
      <c r="A5" s="1"/>
      <c r="B5" s="1"/>
      <c r="C5" s="1" t="s">
        <v>3</v>
      </c>
      <c r="D5" s="1"/>
      <c r="E5" s="1"/>
      <c r="F5" s="1"/>
      <c r="G5" s="1"/>
      <c r="H5" s="1"/>
    </row>
    <row r="6" customFormat="false" ht="15" hidden="false" customHeight="false" outlineLevel="0" collapsed="false">
      <c r="A6" s="1"/>
      <c r="B6" s="1"/>
      <c r="C6" s="1" t="s">
        <v>4</v>
      </c>
      <c r="D6" s="1"/>
      <c r="E6" s="1"/>
      <c r="F6" s="1"/>
      <c r="G6" s="1"/>
      <c r="H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</row>
    <row r="8" customFormat="false" ht="15" hidden="false" customHeight="false" outlineLevel="0" collapsed="false">
      <c r="A8" s="1"/>
      <c r="B8" s="5" t="s">
        <v>5</v>
      </c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1"/>
      <c r="B9" s="1"/>
      <c r="C9" s="1" t="s">
        <v>6</v>
      </c>
      <c r="D9" s="1"/>
      <c r="E9" s="1"/>
      <c r="F9" s="1"/>
      <c r="G9" s="1"/>
      <c r="H9" s="1"/>
    </row>
    <row r="10" customFormat="false" ht="15" hidden="false" customHeight="false" outlineLevel="0" collapsed="false">
      <c r="A10" s="1"/>
      <c r="B10" s="1"/>
      <c r="C10" s="1" t="s">
        <v>7</v>
      </c>
      <c r="D10" s="1"/>
      <c r="E10" s="1"/>
      <c r="F10" s="1"/>
      <c r="G10" s="1"/>
      <c r="H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</row>
    <row r="12" customFormat="false" ht="15" hidden="false" customHeight="false" outlineLevel="0" collapsed="false">
      <c r="A12" s="1"/>
      <c r="B12" s="5" t="s">
        <v>8</v>
      </c>
      <c r="C12" s="1"/>
      <c r="D12" s="1"/>
      <c r="E12" s="1"/>
      <c r="F12" s="1"/>
      <c r="G12" s="1"/>
      <c r="H12" s="1"/>
    </row>
    <row r="13" customFormat="false" ht="15" hidden="false" customHeight="false" outlineLevel="0" collapsed="false">
      <c r="A13" s="1"/>
      <c r="B13" s="1"/>
      <c r="C13" s="1" t="s">
        <v>9</v>
      </c>
      <c r="D13" s="1"/>
      <c r="E13" s="1"/>
      <c r="F13" s="1"/>
      <c r="G13" s="1"/>
      <c r="H13" s="1"/>
    </row>
    <row r="14" customFormat="false" ht="15" hidden="false" customHeight="false" outlineLevel="0" collapsed="false">
      <c r="A14" s="1"/>
      <c r="B14" s="1"/>
      <c r="C14" s="1" t="s">
        <v>10</v>
      </c>
      <c r="D14" s="1"/>
      <c r="E14" s="1"/>
      <c r="F14" s="1"/>
      <c r="G14" s="1"/>
      <c r="H14" s="1"/>
    </row>
    <row r="15" customFormat="false" ht="15" hidden="false" customHeight="false" outlineLevel="0" collapsed="false">
      <c r="A15" s="1"/>
      <c r="B15" s="1"/>
      <c r="C15" s="1" t="s">
        <v>11</v>
      </c>
      <c r="D15" s="1"/>
      <c r="E15" s="1"/>
      <c r="F15" s="1"/>
      <c r="G15" s="1"/>
      <c r="H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/>
      <c r="B17" s="4" t="s">
        <v>12</v>
      </c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/>
      <c r="B18" s="1"/>
      <c r="C18" s="1" t="s">
        <v>13</v>
      </c>
      <c r="D18" s="1"/>
      <c r="E18" s="1"/>
      <c r="F18" s="1"/>
      <c r="G18" s="1"/>
      <c r="H18" s="1"/>
    </row>
    <row r="19" customFormat="false" ht="15" hidden="false" customHeight="false" outlineLevel="0" collapsed="false">
      <c r="A19" s="1"/>
      <c r="B19" s="1"/>
      <c r="C19" s="1" t="s">
        <v>14</v>
      </c>
      <c r="D19" s="1"/>
      <c r="E19" s="1"/>
      <c r="F19" s="1"/>
      <c r="G19" s="1"/>
      <c r="H19" s="1"/>
    </row>
    <row r="20" customFormat="false" ht="15" hidden="false" customHeight="false" outlineLevel="0" collapsed="false">
      <c r="A20" s="1"/>
      <c r="B20" s="1"/>
      <c r="C20" s="1" t="s">
        <v>15</v>
      </c>
      <c r="D20" s="1"/>
      <c r="E20" s="1"/>
      <c r="F20" s="1"/>
      <c r="G20" s="1"/>
      <c r="H20" s="1"/>
    </row>
    <row r="21" customFormat="false" ht="15" hidden="false" customHeight="false" outlineLevel="0" collapsed="false">
      <c r="A21" s="1"/>
      <c r="B21" s="1"/>
      <c r="C21" s="1" t="s">
        <v>16</v>
      </c>
      <c r="D21" s="1"/>
      <c r="E21" s="1"/>
      <c r="F21" s="1"/>
      <c r="G21" s="1"/>
      <c r="H21" s="1"/>
    </row>
    <row r="22" customFormat="false" ht="15" hidden="false" customHeight="false" outlineLevel="0" collapsed="false">
      <c r="A22" s="1"/>
      <c r="B22" s="1"/>
      <c r="C22" s="1" t="s">
        <v>17</v>
      </c>
      <c r="D22" s="1"/>
      <c r="E22" s="1"/>
      <c r="F22" s="1"/>
      <c r="G22" s="1"/>
      <c r="H22" s="1"/>
    </row>
    <row r="23" customFormat="false" ht="15" hidden="false" customHeight="false" outlineLevel="0" collapsed="false">
      <c r="A23" s="1"/>
      <c r="B23" s="1"/>
      <c r="C23" s="1" t="s">
        <v>18</v>
      </c>
      <c r="D23" s="1"/>
      <c r="E23" s="1"/>
      <c r="F23" s="1"/>
      <c r="G23" s="1"/>
      <c r="H23" s="1"/>
    </row>
    <row r="24" customFormat="false" ht="15" hidden="false" customHeight="false" outlineLevel="0" collapsed="false">
      <c r="A24" s="1"/>
      <c r="B24" s="1"/>
      <c r="C24" s="1" t="s">
        <v>19</v>
      </c>
      <c r="D24" s="1"/>
      <c r="E24" s="1"/>
      <c r="F24" s="1"/>
      <c r="G24" s="1"/>
      <c r="H24" s="1"/>
    </row>
    <row r="25" customFormat="false" ht="15" hidden="false" customHeight="false" outlineLevel="0" collapsed="false">
      <c r="A25" s="1"/>
      <c r="B25" s="1"/>
      <c r="C25" s="1" t="s">
        <v>20</v>
      </c>
      <c r="D25" s="1"/>
      <c r="E25" s="1"/>
      <c r="F25" s="1"/>
      <c r="G25" s="1"/>
      <c r="H25" s="1"/>
    </row>
    <row r="26" customFormat="false" ht="15" hidden="false" customHeight="false" outlineLevel="0" collapsed="false">
      <c r="A26" s="1"/>
      <c r="B26" s="1"/>
      <c r="C26" s="1" t="s">
        <v>21</v>
      </c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5" t="s">
        <v>22</v>
      </c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 t="s">
        <v>23</v>
      </c>
      <c r="D29" s="1"/>
      <c r="E29" s="1"/>
      <c r="F29" s="1"/>
      <c r="G29" s="1"/>
      <c r="H29" s="1"/>
    </row>
    <row r="30" customFormat="false" ht="15" hidden="false" customHeight="false" outlineLevel="0" collapsed="false">
      <c r="A30" s="1"/>
      <c r="B30" s="1"/>
      <c r="C30" s="1" t="s">
        <v>24</v>
      </c>
      <c r="D30" s="1"/>
      <c r="E30" s="1"/>
      <c r="F30" s="1"/>
      <c r="G30" s="1"/>
      <c r="H30" s="1"/>
    </row>
    <row r="31" customFormat="false" ht="15" hidden="false" customHeight="false" outlineLevel="0" collapsed="false">
      <c r="A31" s="1"/>
      <c r="B31" s="1"/>
      <c r="C31" s="1" t="s">
        <v>25</v>
      </c>
      <c r="D31" s="1"/>
      <c r="E31" s="1"/>
      <c r="F31" s="1"/>
      <c r="G31" s="1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5" t="s">
        <v>26</v>
      </c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1"/>
      <c r="C34" s="1" t="s">
        <v>27</v>
      </c>
      <c r="D34" s="1"/>
      <c r="E34" s="1"/>
      <c r="F34" s="1"/>
      <c r="G34" s="1"/>
      <c r="H34" s="1"/>
    </row>
    <row r="35" customFormat="false" ht="15" hidden="false" customHeight="false" outlineLevel="0" collapsed="false">
      <c r="A35" s="1"/>
      <c r="B35" s="1"/>
      <c r="C35" s="1" t="s">
        <v>28</v>
      </c>
      <c r="D35" s="1"/>
      <c r="E35" s="1"/>
      <c r="F35" s="1"/>
      <c r="G35" s="1"/>
      <c r="H35" s="1"/>
    </row>
    <row r="36" customFormat="false" ht="15" hidden="false" customHeight="false" outlineLevel="0" collapsed="false">
      <c r="A36" s="1"/>
      <c r="B36" s="1"/>
      <c r="C36" s="1" t="s">
        <v>29</v>
      </c>
      <c r="D36" s="1"/>
      <c r="E36" s="1"/>
      <c r="F36" s="1"/>
      <c r="G36" s="1"/>
      <c r="H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5" t="s">
        <v>30</v>
      </c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 t="s">
        <v>31</v>
      </c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 t="s">
        <v>32</v>
      </c>
      <c r="D40" s="1"/>
      <c r="E40" s="1"/>
      <c r="F40" s="1"/>
      <c r="G40" s="1"/>
      <c r="H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</row>
    <row r="42" customFormat="false" ht="15" hidden="false" customHeight="false" outlineLevel="0" collapsed="false">
      <c r="A42" s="1"/>
      <c r="B42" s="6" t="s">
        <v>33</v>
      </c>
      <c r="C42" s="1"/>
      <c r="D42" s="1"/>
      <c r="E42" s="1"/>
      <c r="F42" s="1"/>
      <c r="G42" s="1"/>
      <c r="H42" s="1"/>
    </row>
    <row r="43" customFormat="false" ht="15" hidden="false" customHeight="false" outlineLevel="0" collapsed="false">
      <c r="A43" s="1"/>
      <c r="B43" s="1"/>
      <c r="C43" s="1" t="s">
        <v>34</v>
      </c>
      <c r="D43" s="1"/>
      <c r="E43" s="1"/>
      <c r="F43" s="1"/>
      <c r="G43" s="1"/>
      <c r="H43" s="1"/>
    </row>
    <row r="44" customFormat="false" ht="15" hidden="false" customHeight="false" outlineLevel="0" collapsed="false">
      <c r="A44" s="1"/>
      <c r="B44" s="1"/>
      <c r="C44" s="1" t="s">
        <v>35</v>
      </c>
      <c r="D44" s="1"/>
      <c r="E44" s="1"/>
      <c r="F44" s="1"/>
      <c r="G44" s="1"/>
      <c r="H44" s="1"/>
    </row>
    <row r="45" customFormat="false" ht="15" hidden="false" customHeight="false" outlineLevel="0" collapsed="false">
      <c r="A45" s="1"/>
      <c r="B45" s="1"/>
      <c r="C45" s="1" t="s">
        <v>36</v>
      </c>
      <c r="D45" s="1"/>
      <c r="E45" s="1"/>
      <c r="F45" s="1"/>
      <c r="G45" s="1"/>
      <c r="H45" s="1"/>
    </row>
    <row r="46" customFormat="false" ht="15" hidden="false" customHeight="false" outlineLevel="0" collapsed="false">
      <c r="A46" s="1"/>
      <c r="B46" s="1"/>
      <c r="C46" s="1" t="s">
        <v>37</v>
      </c>
      <c r="D46" s="1"/>
      <c r="E46" s="1"/>
      <c r="F46" s="1"/>
      <c r="G46" s="1"/>
      <c r="H46" s="1"/>
    </row>
    <row r="47" customFormat="false" ht="15" hidden="false" customHeight="false" outlineLevel="0" collapsed="false">
      <c r="A47" s="1"/>
      <c r="B47" s="1"/>
      <c r="C47" s="1" t="s">
        <v>38</v>
      </c>
      <c r="D47" s="1"/>
      <c r="E47" s="1"/>
      <c r="F47" s="1"/>
      <c r="G47" s="1"/>
      <c r="H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</row>
    <row r="49" customFormat="false" ht="15" hidden="false" customHeight="false" outlineLevel="0" collapsed="false">
      <c r="A49" s="1"/>
      <c r="B49" s="5" t="s">
        <v>39</v>
      </c>
      <c r="C49" s="1"/>
      <c r="D49" s="1"/>
      <c r="E49" s="1"/>
      <c r="F49" s="1"/>
      <c r="G49" s="1"/>
      <c r="H49" s="1"/>
    </row>
    <row r="50" customFormat="false" ht="15" hidden="false" customHeight="false" outlineLevel="0" collapsed="false">
      <c r="A50" s="1"/>
      <c r="B50" s="1"/>
      <c r="C50" s="1" t="s">
        <v>40</v>
      </c>
      <c r="D50" s="1"/>
      <c r="E50" s="1"/>
      <c r="F50" s="1"/>
      <c r="G50" s="1"/>
      <c r="H50" s="1"/>
    </row>
    <row r="51" customFormat="false" ht="15" hidden="false" customHeight="false" outlineLevel="0" collapsed="false">
      <c r="A51" s="1"/>
      <c r="B51" s="1"/>
      <c r="C51" s="1" t="s">
        <v>41</v>
      </c>
      <c r="D51" s="1"/>
      <c r="E51" s="1"/>
      <c r="F51" s="1"/>
      <c r="G51" s="1"/>
      <c r="H51" s="1"/>
    </row>
    <row r="52" customFormat="false" ht="15" hidden="false" customHeight="false" outlineLevel="0" collapsed="false">
      <c r="A52" s="1"/>
      <c r="B52" s="1"/>
      <c r="C52" s="1" t="s">
        <v>42</v>
      </c>
      <c r="D52" s="1"/>
      <c r="E52" s="1"/>
      <c r="F52" s="1"/>
      <c r="G52" s="1"/>
      <c r="H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</row>
    <row r="54" customFormat="false" ht="15" hidden="false" customHeight="false" outlineLevel="0" collapsed="false">
      <c r="A54" s="1"/>
      <c r="B54" s="4" t="s">
        <v>43</v>
      </c>
      <c r="C54" s="1"/>
      <c r="D54" s="1"/>
      <c r="E54" s="1"/>
      <c r="F54" s="1"/>
      <c r="G54" s="1"/>
      <c r="H54" s="1"/>
    </row>
    <row r="55" customFormat="false" ht="15" hidden="false" customHeight="false" outlineLevel="0" collapsed="false">
      <c r="A55" s="1"/>
      <c r="B55" s="1"/>
      <c r="C55" s="1" t="s">
        <v>44</v>
      </c>
      <c r="D55" s="1"/>
      <c r="E55" s="1"/>
      <c r="F55" s="1"/>
      <c r="G55" s="1"/>
      <c r="H55" s="1"/>
    </row>
    <row r="56" customFormat="false" ht="15" hidden="false" customHeight="false" outlineLevel="0" collapsed="false">
      <c r="A56" s="1"/>
      <c r="B56" s="1"/>
      <c r="C56" s="1" t="s">
        <v>45</v>
      </c>
      <c r="D56" s="1"/>
      <c r="E56" s="1"/>
      <c r="F56" s="1"/>
      <c r="G56" s="1"/>
      <c r="H56" s="1"/>
    </row>
    <row r="57" customFormat="false" ht="15" hidden="false" customHeight="false" outlineLevel="0" collapsed="false">
      <c r="A57" s="1"/>
      <c r="B57" s="1"/>
      <c r="C57" s="1" t="s">
        <v>46</v>
      </c>
      <c r="D57" s="1"/>
      <c r="E57" s="1"/>
      <c r="F57" s="1"/>
      <c r="G57" s="1"/>
      <c r="H57" s="1"/>
    </row>
    <row r="58" customFormat="false" ht="15" hidden="false" customHeight="false" outlineLevel="0" collapsed="false">
      <c r="A58" s="1"/>
      <c r="B58" s="1"/>
      <c r="C58" s="1" t="s">
        <v>47</v>
      </c>
      <c r="D58" s="1"/>
      <c r="E58" s="1"/>
      <c r="F58" s="1"/>
      <c r="G58" s="1"/>
      <c r="H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18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7"/>
    <col collapsed="false" customWidth="true" hidden="false" outlineLevel="0" max="5" min="5" style="0" width="11"/>
    <col collapsed="false" customWidth="true" hidden="false" outlineLevel="0" max="6" min="6" style="0" width="20"/>
    <col collapsed="false" customWidth="true" hidden="false" outlineLevel="0" max="7" min="7" style="0" width="9"/>
    <col collapsed="false" customWidth="true" hidden="false" outlineLevel="0" max="8" min="8" style="0" width="24"/>
    <col collapsed="false" customWidth="true" hidden="false" outlineLevel="0" max="9" min="9" style="0" width="7"/>
    <col collapsed="false" customWidth="true" hidden="false" outlineLevel="0" max="10" min="10" style="0" width="10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9"/>
    <col collapsed="false" customWidth="true" hidden="false" outlineLevel="0" max="14" min="14" style="0" width="8"/>
    <col collapsed="false" customWidth="true" hidden="false" outlineLevel="0" max="15" min="15" style="0" width="26"/>
    <col collapsed="false" customWidth="true" hidden="false" outlineLevel="0" max="16" min="16" style="0" width="44"/>
    <col collapsed="false" customWidth="true" hidden="false" outlineLevel="0" max="17" min="17" style="0" width="9"/>
    <col collapsed="false" customWidth="true" hidden="false" outlineLevel="0" max="18" min="18" style="0" width="24"/>
  </cols>
  <sheetData>
    <row r="1" customFormat="false" ht="16.15" hidden="false" customHeight="false" outlineLevel="0" collapsed="false">
      <c r="A1" s="1"/>
      <c r="B1" s="7" t="s">
        <v>48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customFormat="false" ht="15" hidden="false" customHeight="false" outlineLevel="0" collapsed="false">
      <c r="A4" s="1"/>
      <c r="B4" s="8" t="s">
        <v>49</v>
      </c>
      <c r="C4" s="8" t="s">
        <v>50</v>
      </c>
      <c r="D4" s="8" t="s">
        <v>51</v>
      </c>
      <c r="E4" s="8" t="s">
        <v>52</v>
      </c>
      <c r="F4" s="8" t="s">
        <v>53</v>
      </c>
      <c r="G4" s="8" t="s">
        <v>54</v>
      </c>
      <c r="H4" s="8" t="s">
        <v>55</v>
      </c>
      <c r="I4" s="8" t="s">
        <v>56</v>
      </c>
      <c r="J4" s="8" t="s">
        <v>57</v>
      </c>
      <c r="K4" s="8" t="s">
        <v>58</v>
      </c>
      <c r="L4" s="8" t="s">
        <v>59</v>
      </c>
      <c r="M4" s="8" t="s">
        <v>60</v>
      </c>
      <c r="N4" s="8" t="s">
        <v>61</v>
      </c>
      <c r="O4" s="8" t="s">
        <v>62</v>
      </c>
      <c r="P4" s="8" t="s">
        <v>63</v>
      </c>
      <c r="Q4" s="8" t="s">
        <v>64</v>
      </c>
      <c r="R4" s="8" t="s">
        <v>65</v>
      </c>
      <c r="S4" s="1"/>
      <c r="T4" s="1"/>
    </row>
    <row r="5" customFormat="false" ht="15" hidden="false" customHeight="false" outlineLevel="0" collapsed="false">
      <c r="A5" s="1"/>
      <c r="B5" s="9" t="s">
        <v>66</v>
      </c>
      <c r="C5" s="9" t="s">
        <v>67</v>
      </c>
      <c r="D5" s="9"/>
      <c r="E5" s="9"/>
      <c r="F5" s="9" t="s">
        <v>68</v>
      </c>
      <c r="G5" s="9" t="s">
        <v>69</v>
      </c>
      <c r="H5" s="9" t="s">
        <v>70</v>
      </c>
      <c r="I5" s="9"/>
      <c r="J5" s="9" t="s">
        <v>71</v>
      </c>
      <c r="K5" s="9" t="s">
        <v>72</v>
      </c>
      <c r="L5" s="10" t="n">
        <v>0</v>
      </c>
      <c r="M5" s="11" t="n">
        <v>77</v>
      </c>
      <c r="N5" s="11" t="n">
        <v>100</v>
      </c>
      <c r="O5" s="12" t="s">
        <v>73</v>
      </c>
      <c r="P5" s="12" t="s">
        <v>74</v>
      </c>
      <c r="Q5" s="12" t="s">
        <v>75</v>
      </c>
      <c r="R5" s="12" t="s">
        <v>76</v>
      </c>
      <c r="S5" s="1"/>
      <c r="T5" s="1"/>
    </row>
    <row r="6" customFormat="false" ht="15" hidden="false" customHeight="false" outlineLevel="0" collapsed="false">
      <c r="A6" s="1"/>
      <c r="B6" s="9" t="s">
        <v>77</v>
      </c>
      <c r="C6" s="9" t="s">
        <v>67</v>
      </c>
      <c r="D6" s="9"/>
      <c r="E6" s="9"/>
      <c r="F6" s="9" t="s">
        <v>68</v>
      </c>
      <c r="G6" s="9" t="s">
        <v>69</v>
      </c>
      <c r="H6" s="9" t="s">
        <v>78</v>
      </c>
      <c r="I6" s="9" t="s">
        <v>79</v>
      </c>
      <c r="J6" s="9"/>
      <c r="K6" s="9"/>
      <c r="L6" s="10" t="n">
        <v>0</v>
      </c>
      <c r="M6" s="11" t="n">
        <v>7</v>
      </c>
      <c r="N6" s="11" t="n">
        <v>10</v>
      </c>
      <c r="O6" s="12" t="s">
        <v>73</v>
      </c>
      <c r="P6" s="12" t="s">
        <v>74</v>
      </c>
      <c r="Q6" s="12" t="s">
        <v>75</v>
      </c>
      <c r="R6" s="12" t="s">
        <v>76</v>
      </c>
      <c r="S6" s="1"/>
      <c r="T6" s="1"/>
    </row>
    <row r="7" customFormat="false" ht="15" hidden="false" customHeight="false" outlineLevel="0" collapsed="false">
      <c r="A7" s="1"/>
      <c r="B7" s="9" t="s">
        <v>80</v>
      </c>
      <c r="C7" s="9" t="s">
        <v>67</v>
      </c>
      <c r="D7" s="9"/>
      <c r="E7" s="9"/>
      <c r="F7" s="9" t="s">
        <v>68</v>
      </c>
      <c r="G7" s="9" t="s">
        <v>69</v>
      </c>
      <c r="H7" s="9" t="s">
        <v>81</v>
      </c>
      <c r="I7" s="9" t="s">
        <v>82</v>
      </c>
      <c r="J7" s="9"/>
      <c r="K7" s="9"/>
      <c r="L7" s="10" t="n">
        <v>0</v>
      </c>
      <c r="M7" s="11" t="n">
        <v>8</v>
      </c>
      <c r="N7" s="11" t="n">
        <v>10</v>
      </c>
      <c r="O7" s="12" t="s">
        <v>73</v>
      </c>
      <c r="P7" s="12" t="s">
        <v>74</v>
      </c>
      <c r="Q7" s="12" t="s">
        <v>75</v>
      </c>
      <c r="R7" s="12" t="s">
        <v>76</v>
      </c>
      <c r="S7" s="1"/>
      <c r="T7" s="1"/>
    </row>
    <row r="8" customFormat="false" ht="15" hidden="false" customHeight="false" outlineLevel="0" collapsed="false">
      <c r="A8" s="1"/>
      <c r="B8" s="9" t="s">
        <v>83</v>
      </c>
      <c r="C8" s="9" t="s">
        <v>67</v>
      </c>
      <c r="D8" s="9"/>
      <c r="E8" s="9"/>
      <c r="F8" s="9" t="s">
        <v>68</v>
      </c>
      <c r="G8" s="9" t="s">
        <v>69</v>
      </c>
      <c r="H8" s="9"/>
      <c r="I8" s="9"/>
      <c r="J8" s="9"/>
      <c r="K8" s="9"/>
      <c r="L8" s="10" t="n">
        <v>255</v>
      </c>
      <c r="M8" s="11" t="n">
        <v>1</v>
      </c>
      <c r="N8" s="11" t="n">
        <v>20</v>
      </c>
      <c r="O8" s="12" t="s">
        <v>73</v>
      </c>
      <c r="P8" s="12" t="s">
        <v>74</v>
      </c>
      <c r="Q8" s="12" t="s">
        <v>84</v>
      </c>
      <c r="R8" s="12" t="s">
        <v>85</v>
      </c>
      <c r="S8" s="1"/>
      <c r="T8" s="1"/>
    </row>
    <row r="9" customFormat="false" ht="15" hidden="false" customHeight="false" outlineLevel="0" collapsed="false">
      <c r="A9" s="1"/>
      <c r="B9" s="9" t="s">
        <v>86</v>
      </c>
      <c r="C9" s="9" t="s">
        <v>67</v>
      </c>
      <c r="D9" s="9"/>
      <c r="E9" s="9"/>
      <c r="F9" s="9" t="s">
        <v>68</v>
      </c>
      <c r="G9" s="9" t="s">
        <v>69</v>
      </c>
      <c r="H9" s="9"/>
      <c r="I9" s="9"/>
      <c r="J9" s="9"/>
      <c r="K9" s="9"/>
      <c r="L9" s="10" t="n">
        <v>440</v>
      </c>
      <c r="M9" s="11" t="n">
        <v>25</v>
      </c>
      <c r="N9" s="11" t="n">
        <v>40</v>
      </c>
      <c r="O9" s="12" t="s">
        <v>73</v>
      </c>
      <c r="P9" s="12" t="s">
        <v>74</v>
      </c>
      <c r="Q9" s="12" t="s">
        <v>84</v>
      </c>
      <c r="R9" s="12" t="s">
        <v>85</v>
      </c>
      <c r="S9" s="1"/>
      <c r="T9" s="1"/>
    </row>
    <row r="10" customFormat="false" ht="15" hidden="false" customHeight="false" outlineLevel="0" collapsed="false">
      <c r="A10" s="1"/>
      <c r="B10" s="9" t="s">
        <v>87</v>
      </c>
      <c r="C10" s="9" t="s">
        <v>67</v>
      </c>
      <c r="D10" s="9"/>
      <c r="E10" s="9"/>
      <c r="F10" s="9" t="s">
        <v>68</v>
      </c>
      <c r="G10" s="9" t="s">
        <v>69</v>
      </c>
      <c r="H10" s="9"/>
      <c r="I10" s="9"/>
      <c r="J10" s="9"/>
      <c r="K10" s="9"/>
      <c r="L10" s="10" t="n">
        <v>485</v>
      </c>
      <c r="M10" s="11" t="n">
        <v>17</v>
      </c>
      <c r="N10" s="11" t="n">
        <v>30</v>
      </c>
      <c r="O10" s="12" t="s">
        <v>73</v>
      </c>
      <c r="P10" s="12" t="s">
        <v>74</v>
      </c>
      <c r="Q10" s="12" t="s">
        <v>84</v>
      </c>
      <c r="R10" s="12" t="s">
        <v>85</v>
      </c>
      <c r="S10" s="1"/>
      <c r="T10" s="1"/>
    </row>
    <row r="11" customFormat="false" ht="15" hidden="false" customHeight="false" outlineLevel="0" collapsed="false">
      <c r="A11" s="1"/>
      <c r="B11" s="9" t="s">
        <v>88</v>
      </c>
      <c r="C11" s="9" t="s">
        <v>67</v>
      </c>
      <c r="D11" s="9"/>
      <c r="E11" s="9"/>
      <c r="F11" s="9" t="s">
        <v>68</v>
      </c>
      <c r="G11" s="9" t="s">
        <v>69</v>
      </c>
      <c r="H11" s="9"/>
      <c r="I11" s="9"/>
      <c r="J11" s="9"/>
      <c r="K11" s="9"/>
      <c r="L11" s="10" t="n">
        <v>350</v>
      </c>
      <c r="M11" s="11" t="n">
        <v>4</v>
      </c>
      <c r="N11" s="11" t="n">
        <v>20</v>
      </c>
      <c r="O11" s="12" t="s">
        <v>73</v>
      </c>
      <c r="P11" s="12" t="s">
        <v>74</v>
      </c>
      <c r="Q11" s="12" t="s">
        <v>84</v>
      </c>
      <c r="R11" s="12" t="s">
        <v>85</v>
      </c>
      <c r="S11" s="1"/>
      <c r="T11" s="1"/>
    </row>
    <row r="12" customFormat="false" ht="15" hidden="false" customHeight="false" outlineLevel="0" collapsed="false">
      <c r="A12" s="1"/>
      <c r="B12" s="9" t="s">
        <v>89</v>
      </c>
      <c r="C12" s="9" t="s">
        <v>67</v>
      </c>
      <c r="D12" s="9"/>
      <c r="E12" s="9"/>
      <c r="F12" s="9" t="s">
        <v>68</v>
      </c>
      <c r="G12" s="9" t="s">
        <v>69</v>
      </c>
      <c r="H12" s="9"/>
      <c r="I12" s="9"/>
      <c r="J12" s="9"/>
      <c r="K12" s="9"/>
      <c r="L12" s="10" t="n">
        <v>543</v>
      </c>
      <c r="M12" s="11" t="n">
        <v>12</v>
      </c>
      <c r="N12" s="11" t="n">
        <v>15</v>
      </c>
      <c r="O12" s="12" t="s">
        <v>73</v>
      </c>
      <c r="P12" s="12" t="s">
        <v>74</v>
      </c>
      <c r="Q12" s="12" t="s">
        <v>84</v>
      </c>
      <c r="R12" s="12" t="s">
        <v>85</v>
      </c>
      <c r="S12" s="1"/>
      <c r="T12" s="1"/>
    </row>
    <row r="13" customFormat="false" ht="15" hidden="false" customHeight="false" outlineLevel="0" collapsed="false">
      <c r="A13" s="1"/>
      <c r="B13" s="9" t="s">
        <v>90</v>
      </c>
      <c r="C13" s="9" t="s">
        <v>67</v>
      </c>
      <c r="D13" s="9"/>
      <c r="E13" s="9"/>
      <c r="F13" s="9" t="s">
        <v>68</v>
      </c>
      <c r="G13" s="9" t="s">
        <v>69</v>
      </c>
      <c r="H13" s="9"/>
      <c r="I13" s="9"/>
      <c r="J13" s="9"/>
      <c r="K13" s="9"/>
      <c r="L13" s="10" t="n">
        <v>310</v>
      </c>
      <c r="M13" s="11" t="n">
        <v>8</v>
      </c>
      <c r="N13" s="11" t="n">
        <v>20</v>
      </c>
      <c r="O13" s="12" t="s">
        <v>73</v>
      </c>
      <c r="P13" s="12" t="s">
        <v>74</v>
      </c>
      <c r="Q13" s="12" t="s">
        <v>84</v>
      </c>
      <c r="R13" s="12" t="s">
        <v>85</v>
      </c>
      <c r="S13" s="1"/>
      <c r="T13" s="1"/>
    </row>
    <row r="14" customFormat="false" ht="15" hidden="false" customHeight="false" outlineLevel="0" collapsed="false">
      <c r="A14" s="1"/>
      <c r="B14" s="9" t="s">
        <v>91</v>
      </c>
      <c r="C14" s="9" t="s">
        <v>67</v>
      </c>
      <c r="D14" s="9"/>
      <c r="E14" s="9"/>
      <c r="F14" s="9" t="s">
        <v>68</v>
      </c>
      <c r="G14" s="9" t="s">
        <v>69</v>
      </c>
      <c r="H14" s="9"/>
      <c r="I14" s="9"/>
      <c r="J14" s="9"/>
      <c r="K14" s="9"/>
      <c r="L14" s="10" t="n">
        <v>385</v>
      </c>
      <c r="M14" s="11" t="n">
        <v>7</v>
      </c>
      <c r="N14" s="11" t="n">
        <v>20</v>
      </c>
      <c r="O14" s="12" t="s">
        <v>73</v>
      </c>
      <c r="P14" s="12" t="s">
        <v>74</v>
      </c>
      <c r="Q14" s="12" t="s">
        <v>84</v>
      </c>
      <c r="R14" s="12" t="s">
        <v>85</v>
      </c>
      <c r="S14" s="1"/>
      <c r="T14" s="1"/>
    </row>
    <row r="15" customFormat="false" ht="15" hidden="false" customHeight="false" outlineLevel="0" collapsed="false">
      <c r="A15" s="1"/>
      <c r="B15" s="9" t="s">
        <v>92</v>
      </c>
      <c r="C15" s="9" t="s">
        <v>67</v>
      </c>
      <c r="D15" s="9"/>
      <c r="E15" s="9"/>
      <c r="F15" s="9" t="s">
        <v>68</v>
      </c>
      <c r="G15" s="9" t="s">
        <v>69</v>
      </c>
      <c r="H15" s="9" t="s">
        <v>93</v>
      </c>
      <c r="I15" s="9" t="s">
        <v>94</v>
      </c>
      <c r="J15" s="9" t="s">
        <v>95</v>
      </c>
      <c r="K15" s="9" t="s">
        <v>96</v>
      </c>
      <c r="L15" s="10" t="n">
        <v>0</v>
      </c>
      <c r="M15" s="11" t="n">
        <v>13</v>
      </c>
      <c r="N15" s="11" t="n">
        <v>20</v>
      </c>
      <c r="O15" s="12" t="s">
        <v>73</v>
      </c>
      <c r="P15" s="12" t="s">
        <v>74</v>
      </c>
      <c r="Q15" s="12" t="s">
        <v>75</v>
      </c>
      <c r="R15" s="12" t="s">
        <v>76</v>
      </c>
      <c r="S15" s="1"/>
      <c r="T15" s="1"/>
    </row>
    <row r="16" customFormat="false" ht="15" hidden="false" customHeight="false" outlineLevel="0" collapsed="false">
      <c r="A16" s="1"/>
      <c r="B16" s="9" t="s">
        <v>97</v>
      </c>
      <c r="C16" s="9" t="s">
        <v>67</v>
      </c>
      <c r="D16" s="9"/>
      <c r="E16" s="9"/>
      <c r="F16" s="9" t="s">
        <v>68</v>
      </c>
      <c r="G16" s="9" t="s">
        <v>69</v>
      </c>
      <c r="H16" s="9" t="s">
        <v>98</v>
      </c>
      <c r="I16" s="9" t="s">
        <v>99</v>
      </c>
      <c r="J16" s="9"/>
      <c r="K16" s="9"/>
      <c r="L16" s="10" t="n">
        <v>0</v>
      </c>
      <c r="M16" s="11" t="n">
        <v>5</v>
      </c>
      <c r="N16" s="11" t="n">
        <v>20</v>
      </c>
      <c r="O16" s="12" t="s">
        <v>73</v>
      </c>
      <c r="P16" s="12" t="s">
        <v>74</v>
      </c>
      <c r="Q16" s="12" t="s">
        <v>75</v>
      </c>
      <c r="R16" s="12" t="s">
        <v>76</v>
      </c>
      <c r="S16" s="1"/>
      <c r="T16" s="1"/>
    </row>
    <row r="17" customFormat="false" ht="15" hidden="false" customHeight="false" outlineLevel="0" collapsed="false">
      <c r="A17" s="1"/>
      <c r="B17" s="9" t="s">
        <v>100</v>
      </c>
      <c r="C17" s="9" t="s">
        <v>67</v>
      </c>
      <c r="D17" s="9"/>
      <c r="E17" s="9"/>
      <c r="F17" s="9" t="s">
        <v>68</v>
      </c>
      <c r="G17" s="9" t="s">
        <v>69</v>
      </c>
      <c r="H17" s="9" t="s">
        <v>101</v>
      </c>
      <c r="I17" s="9" t="s">
        <v>99</v>
      </c>
      <c r="J17" s="9"/>
      <c r="K17" s="9"/>
      <c r="L17" s="10" t="n">
        <v>0</v>
      </c>
      <c r="M17" s="11" t="n">
        <v>9</v>
      </c>
      <c r="N17" s="11" t="n">
        <v>46</v>
      </c>
      <c r="O17" s="12" t="s">
        <v>73</v>
      </c>
      <c r="P17" s="12" t="s">
        <v>74</v>
      </c>
      <c r="Q17" s="12" t="s">
        <v>75</v>
      </c>
      <c r="R17" s="12" t="s">
        <v>76</v>
      </c>
      <c r="S17" s="1"/>
      <c r="T17" s="1"/>
    </row>
    <row r="18" customFormat="false" ht="15" hidden="false" customHeight="false" outlineLevel="0" collapsed="false">
      <c r="A18" s="1"/>
      <c r="B18" s="9" t="s">
        <v>102</v>
      </c>
      <c r="C18" s="9" t="s">
        <v>67</v>
      </c>
      <c r="D18" s="9"/>
      <c r="E18" s="9"/>
      <c r="F18" s="9" t="s">
        <v>68</v>
      </c>
      <c r="G18" s="9" t="s">
        <v>69</v>
      </c>
      <c r="H18" s="9" t="s">
        <v>103</v>
      </c>
      <c r="I18" s="9" t="s">
        <v>104</v>
      </c>
      <c r="J18" s="9" t="s">
        <v>105</v>
      </c>
      <c r="K18" s="9" t="s">
        <v>96</v>
      </c>
      <c r="L18" s="10" t="n">
        <v>0</v>
      </c>
      <c r="M18" s="11" t="n">
        <v>17</v>
      </c>
      <c r="N18" s="11" t="n">
        <v>25</v>
      </c>
      <c r="O18" s="12" t="s">
        <v>73</v>
      </c>
      <c r="P18" s="12" t="s">
        <v>74</v>
      </c>
      <c r="Q18" s="12" t="s">
        <v>75</v>
      </c>
      <c r="R18" s="12" t="s">
        <v>76</v>
      </c>
      <c r="S18" s="1"/>
      <c r="T18" s="1"/>
    </row>
    <row r="19" customFormat="false" ht="15" hidden="false" customHeight="false" outlineLevel="0" collapsed="false">
      <c r="A19" s="1"/>
      <c r="B19" s="9" t="s">
        <v>106</v>
      </c>
      <c r="C19" s="9" t="s">
        <v>67</v>
      </c>
      <c r="D19" s="9"/>
      <c r="E19" s="9"/>
      <c r="F19" s="9" t="s">
        <v>68</v>
      </c>
      <c r="G19" s="9" t="s">
        <v>69</v>
      </c>
      <c r="H19" s="9" t="s">
        <v>101</v>
      </c>
      <c r="I19" s="9"/>
      <c r="J19" s="9"/>
      <c r="K19" s="9"/>
      <c r="L19" s="10" t="n">
        <v>0</v>
      </c>
      <c r="M19" s="11" t="n">
        <v>33</v>
      </c>
      <c r="N19" s="11" t="n">
        <v>50</v>
      </c>
      <c r="O19" s="12" t="s">
        <v>73</v>
      </c>
      <c r="P19" s="12" t="s">
        <v>74</v>
      </c>
      <c r="Q19" s="12" t="s">
        <v>75</v>
      </c>
      <c r="R19" s="12" t="s">
        <v>76</v>
      </c>
      <c r="S19" s="1"/>
      <c r="T19" s="1"/>
    </row>
    <row r="20" customFormat="false" ht="15" hidden="false" customHeight="false" outlineLevel="0" collapsed="false">
      <c r="A20" s="1"/>
      <c r="B20" s="9" t="s">
        <v>107</v>
      </c>
      <c r="C20" s="9" t="s">
        <v>67</v>
      </c>
      <c r="D20" s="9"/>
      <c r="E20" s="9"/>
      <c r="F20" s="9" t="s">
        <v>68</v>
      </c>
      <c r="G20" s="9" t="s">
        <v>69</v>
      </c>
      <c r="H20" s="9" t="s">
        <v>108</v>
      </c>
      <c r="I20" s="9"/>
      <c r="J20" s="9"/>
      <c r="K20" s="9"/>
      <c r="L20" s="10" t="n">
        <v>0</v>
      </c>
      <c r="M20" s="11" t="n">
        <v>31</v>
      </c>
      <c r="N20" s="11" t="n">
        <v>40</v>
      </c>
      <c r="O20" s="12" t="s">
        <v>73</v>
      </c>
      <c r="P20" s="12" t="s">
        <v>74</v>
      </c>
      <c r="Q20" s="12" t="s">
        <v>75</v>
      </c>
      <c r="R20" s="12" t="s">
        <v>76</v>
      </c>
      <c r="S20" s="1"/>
      <c r="T20" s="1"/>
    </row>
    <row r="21" customFormat="false" ht="15" hidden="false" customHeight="false" outlineLevel="0" collapsed="false">
      <c r="A21" s="1"/>
      <c r="B21" s="9" t="s">
        <v>109</v>
      </c>
      <c r="C21" s="9" t="s">
        <v>67</v>
      </c>
      <c r="D21" s="9"/>
      <c r="E21" s="9"/>
      <c r="F21" s="9" t="s">
        <v>68</v>
      </c>
      <c r="G21" s="9" t="s">
        <v>69</v>
      </c>
      <c r="H21" s="9" t="s">
        <v>81</v>
      </c>
      <c r="I21" s="9" t="s">
        <v>110</v>
      </c>
      <c r="J21" s="9"/>
      <c r="K21" s="9"/>
      <c r="L21" s="10" t="n">
        <v>0</v>
      </c>
      <c r="M21" s="11" t="n">
        <v>9</v>
      </c>
      <c r="N21" s="11" t="n">
        <v>11</v>
      </c>
      <c r="O21" s="12" t="s">
        <v>73</v>
      </c>
      <c r="P21" s="12" t="s">
        <v>74</v>
      </c>
      <c r="Q21" s="12" t="s">
        <v>75</v>
      </c>
      <c r="R21" s="12" t="s">
        <v>76</v>
      </c>
      <c r="S21" s="1"/>
      <c r="T21" s="1"/>
    </row>
    <row r="22" customFormat="false" ht="15" hidden="false" customHeight="false" outlineLevel="0" collapsed="false">
      <c r="A22" s="1"/>
      <c r="B22" s="9" t="s">
        <v>111</v>
      </c>
      <c r="C22" s="9" t="s">
        <v>67</v>
      </c>
      <c r="D22" s="9"/>
      <c r="E22" s="9"/>
      <c r="F22" s="9" t="s">
        <v>68</v>
      </c>
      <c r="G22" s="9" t="s">
        <v>69</v>
      </c>
      <c r="H22" s="9" t="s">
        <v>112</v>
      </c>
      <c r="I22" s="9" t="s">
        <v>79</v>
      </c>
      <c r="J22" s="9"/>
      <c r="K22" s="9"/>
      <c r="L22" s="10" t="n">
        <v>0</v>
      </c>
      <c r="M22" s="11" t="n">
        <v>5</v>
      </c>
      <c r="N22" s="11" t="n">
        <v>20</v>
      </c>
      <c r="O22" s="12" t="s">
        <v>73</v>
      </c>
      <c r="P22" s="12" t="s">
        <v>74</v>
      </c>
      <c r="Q22" s="12" t="s">
        <v>75</v>
      </c>
      <c r="R22" s="12" t="s">
        <v>76</v>
      </c>
      <c r="S22" s="1"/>
      <c r="T22" s="1"/>
    </row>
    <row r="23" customFormat="false" ht="15" hidden="false" customHeight="false" outlineLevel="0" collapsed="false">
      <c r="A23" s="1"/>
      <c r="B23" s="9" t="s">
        <v>113</v>
      </c>
      <c r="C23" s="9" t="s">
        <v>114</v>
      </c>
      <c r="D23" s="9" t="s">
        <v>115</v>
      </c>
      <c r="E23" s="9" t="s">
        <v>116</v>
      </c>
      <c r="F23" s="9" t="s">
        <v>117</v>
      </c>
      <c r="G23" s="9" t="s">
        <v>69</v>
      </c>
      <c r="H23" s="9" t="s">
        <v>118</v>
      </c>
      <c r="I23" s="9"/>
      <c r="J23" s="9" t="s">
        <v>119</v>
      </c>
      <c r="K23" s="9" t="s">
        <v>120</v>
      </c>
      <c r="L23" s="10" t="n">
        <v>200</v>
      </c>
      <c r="M23" s="11" t="n">
        <v>1</v>
      </c>
      <c r="N23" s="11" t="n">
        <v>2</v>
      </c>
      <c r="O23" s="12" t="s">
        <v>121</v>
      </c>
      <c r="P23" s="12" t="s">
        <v>122</v>
      </c>
      <c r="Q23" s="12" t="s">
        <v>84</v>
      </c>
      <c r="R23" s="12" t="s">
        <v>85</v>
      </c>
      <c r="S23" s="1"/>
      <c r="T23" s="1"/>
    </row>
    <row r="24" customFormat="false" ht="15" hidden="false" customHeight="false" outlineLevel="0" collapsed="false">
      <c r="A24" s="1"/>
      <c r="B24" s="9" t="s">
        <v>123</v>
      </c>
      <c r="C24" s="9" t="s">
        <v>114</v>
      </c>
      <c r="D24" s="9" t="s">
        <v>124</v>
      </c>
      <c r="E24" s="9" t="s">
        <v>125</v>
      </c>
      <c r="F24" s="9" t="s">
        <v>117</v>
      </c>
      <c r="G24" s="9" t="s">
        <v>69</v>
      </c>
      <c r="H24" s="9" t="s">
        <v>126</v>
      </c>
      <c r="I24" s="9" t="s">
        <v>127</v>
      </c>
      <c r="J24" s="9" t="s">
        <v>95</v>
      </c>
      <c r="K24" s="9" t="s">
        <v>128</v>
      </c>
      <c r="L24" s="10" t="n">
        <v>310</v>
      </c>
      <c r="M24" s="11" t="n">
        <v>9</v>
      </c>
      <c r="N24" s="11" t="n">
        <v>10</v>
      </c>
      <c r="O24" s="12" t="s">
        <v>129</v>
      </c>
      <c r="P24" s="12" t="s">
        <v>122</v>
      </c>
      <c r="Q24" s="12" t="s">
        <v>84</v>
      </c>
      <c r="R24" s="12" t="s">
        <v>85</v>
      </c>
      <c r="S24" s="1"/>
      <c r="T24" s="1"/>
    </row>
    <row r="25" customFormat="false" ht="15" hidden="false" customHeight="false" outlineLevel="0" collapsed="false">
      <c r="A25" s="1"/>
      <c r="B25" s="9" t="s">
        <v>130</v>
      </c>
      <c r="C25" s="9" t="s">
        <v>131</v>
      </c>
      <c r="D25" s="9"/>
      <c r="E25" s="9"/>
      <c r="F25" s="9" t="s">
        <v>132</v>
      </c>
      <c r="G25" s="9" t="s">
        <v>69</v>
      </c>
      <c r="H25" s="9" t="s">
        <v>133</v>
      </c>
      <c r="I25" s="9" t="s">
        <v>94</v>
      </c>
      <c r="J25" s="9"/>
      <c r="K25" s="9"/>
      <c r="L25" s="10" t="n">
        <v>0</v>
      </c>
      <c r="M25" s="11" t="n">
        <v>24</v>
      </c>
      <c r="N25" s="11" t="n">
        <v>150</v>
      </c>
      <c r="O25" s="12" t="s">
        <v>134</v>
      </c>
      <c r="P25" s="12" t="s">
        <v>135</v>
      </c>
      <c r="Q25" s="12" t="s">
        <v>75</v>
      </c>
      <c r="R25" s="12" t="s">
        <v>136</v>
      </c>
      <c r="S25" s="1"/>
      <c r="T25" s="1"/>
    </row>
    <row r="26" customFormat="false" ht="15" hidden="false" customHeight="false" outlineLevel="0" collapsed="false">
      <c r="A26" s="1"/>
      <c r="B26" s="9" t="s">
        <v>137</v>
      </c>
      <c r="C26" s="9" t="s">
        <v>131</v>
      </c>
      <c r="D26" s="9"/>
      <c r="E26" s="9"/>
      <c r="F26" s="9"/>
      <c r="G26" s="9" t="s">
        <v>138</v>
      </c>
      <c r="H26" s="9" t="s">
        <v>139</v>
      </c>
      <c r="I26" s="9" t="s">
        <v>140</v>
      </c>
      <c r="J26" s="9" t="s">
        <v>141</v>
      </c>
      <c r="K26" s="9" t="s">
        <v>72</v>
      </c>
      <c r="L26" s="10" t="n">
        <v>0</v>
      </c>
      <c r="M26" s="11" t="n">
        <v>0</v>
      </c>
      <c r="N26" s="11" t="n">
        <v>20</v>
      </c>
      <c r="O26" s="12" t="s">
        <v>134</v>
      </c>
      <c r="P26" s="12" t="s">
        <v>135</v>
      </c>
      <c r="Q26" s="12" t="s">
        <v>75</v>
      </c>
      <c r="R26" s="12" t="s">
        <v>136</v>
      </c>
      <c r="S26" s="1"/>
      <c r="T26" s="1"/>
    </row>
    <row r="27" customFormat="false" ht="15" hidden="false" customHeight="false" outlineLevel="0" collapsed="false">
      <c r="A27" s="1"/>
      <c r="B27" s="9" t="s">
        <v>142</v>
      </c>
      <c r="C27" s="9" t="s">
        <v>131</v>
      </c>
      <c r="D27" s="9"/>
      <c r="E27" s="9"/>
      <c r="F27" s="9"/>
      <c r="G27" s="9" t="s">
        <v>138</v>
      </c>
      <c r="H27" s="9" t="s">
        <v>139</v>
      </c>
      <c r="I27" s="9" t="s">
        <v>143</v>
      </c>
      <c r="J27" s="9" t="s">
        <v>141</v>
      </c>
      <c r="K27" s="9" t="s">
        <v>72</v>
      </c>
      <c r="L27" s="10" t="n">
        <v>0</v>
      </c>
      <c r="M27" s="11" t="n">
        <v>0</v>
      </c>
      <c r="N27" s="11" t="n">
        <v>20</v>
      </c>
      <c r="O27" s="12" t="s">
        <v>134</v>
      </c>
      <c r="P27" s="12" t="s">
        <v>135</v>
      </c>
      <c r="Q27" s="12" t="s">
        <v>75</v>
      </c>
      <c r="R27" s="12" t="s">
        <v>136</v>
      </c>
      <c r="S27" s="1"/>
      <c r="T27" s="1"/>
    </row>
    <row r="28" customFormat="false" ht="15" hidden="false" customHeight="false" outlineLevel="0" collapsed="false">
      <c r="A28" s="1"/>
      <c r="B28" s="9" t="s">
        <v>144</v>
      </c>
      <c r="C28" s="9" t="s">
        <v>114</v>
      </c>
      <c r="D28" s="9" t="s">
        <v>115</v>
      </c>
      <c r="E28" s="9" t="s">
        <v>145</v>
      </c>
      <c r="F28" s="9" t="s">
        <v>117</v>
      </c>
      <c r="G28" s="9" t="s">
        <v>69</v>
      </c>
      <c r="H28" s="9" t="s">
        <v>146</v>
      </c>
      <c r="I28" s="9" t="s">
        <v>147</v>
      </c>
      <c r="J28" s="9" t="s">
        <v>148</v>
      </c>
      <c r="K28" s="9" t="s">
        <v>149</v>
      </c>
      <c r="L28" s="10" t="n">
        <v>143</v>
      </c>
      <c r="M28" s="11" t="n">
        <v>8</v>
      </c>
      <c r="N28" s="11" t="n">
        <v>8</v>
      </c>
      <c r="O28" s="12" t="s">
        <v>121</v>
      </c>
      <c r="P28" s="12" t="s">
        <v>150</v>
      </c>
      <c r="Q28" s="12" t="s">
        <v>84</v>
      </c>
      <c r="R28" s="12" t="s">
        <v>85</v>
      </c>
      <c r="S28" s="1"/>
      <c r="T28" s="1"/>
    </row>
    <row r="29" customFormat="false" ht="15" hidden="false" customHeight="false" outlineLevel="0" collapsed="false">
      <c r="A29" s="1"/>
      <c r="B29" s="9" t="s">
        <v>151</v>
      </c>
      <c r="C29" s="9" t="s">
        <v>114</v>
      </c>
      <c r="D29" s="9" t="s">
        <v>115</v>
      </c>
      <c r="E29" s="9" t="s">
        <v>145</v>
      </c>
      <c r="F29" s="9" t="s">
        <v>117</v>
      </c>
      <c r="G29" s="9" t="s">
        <v>69</v>
      </c>
      <c r="H29" s="9" t="s">
        <v>152</v>
      </c>
      <c r="I29" s="9" t="s">
        <v>153</v>
      </c>
      <c r="J29" s="9" t="s">
        <v>154</v>
      </c>
      <c r="K29" s="9" t="s">
        <v>149</v>
      </c>
      <c r="L29" s="10" t="n">
        <v>143</v>
      </c>
      <c r="M29" s="11" t="n">
        <v>3</v>
      </c>
      <c r="N29" s="11" t="n">
        <v>8</v>
      </c>
      <c r="O29" s="12" t="s">
        <v>121</v>
      </c>
      <c r="P29" s="12" t="s">
        <v>150</v>
      </c>
      <c r="Q29" s="12" t="s">
        <v>84</v>
      </c>
      <c r="R29" s="12" t="s">
        <v>85</v>
      </c>
      <c r="S29" s="1"/>
      <c r="T29" s="1"/>
    </row>
    <row r="30" customFormat="false" ht="15" hidden="false" customHeight="false" outlineLevel="0" collapsed="false">
      <c r="A30" s="1"/>
      <c r="B30" s="9" t="s">
        <v>155</v>
      </c>
      <c r="C30" s="9" t="s">
        <v>114</v>
      </c>
      <c r="D30" s="9" t="s">
        <v>115</v>
      </c>
      <c r="E30" s="9" t="s">
        <v>145</v>
      </c>
      <c r="F30" s="9" t="s">
        <v>117</v>
      </c>
      <c r="G30" s="9" t="s">
        <v>69</v>
      </c>
      <c r="H30" s="9" t="s">
        <v>152</v>
      </c>
      <c r="I30" s="9" t="s">
        <v>153</v>
      </c>
      <c r="J30" s="9" t="s">
        <v>156</v>
      </c>
      <c r="K30" s="9" t="s">
        <v>149</v>
      </c>
      <c r="L30" s="10" t="n">
        <v>143</v>
      </c>
      <c r="M30" s="11" t="n">
        <v>2</v>
      </c>
      <c r="N30" s="11" t="n">
        <v>8</v>
      </c>
      <c r="O30" s="12" t="s">
        <v>121</v>
      </c>
      <c r="P30" s="12" t="s">
        <v>150</v>
      </c>
      <c r="Q30" s="12" t="s">
        <v>84</v>
      </c>
      <c r="R30" s="12" t="s">
        <v>85</v>
      </c>
      <c r="S30" s="1"/>
      <c r="T30" s="1"/>
    </row>
    <row r="31" customFormat="false" ht="15" hidden="false" customHeight="false" outlineLevel="0" collapsed="false">
      <c r="A31" s="1"/>
      <c r="B31" s="9" t="s">
        <v>157</v>
      </c>
      <c r="C31" s="9" t="s">
        <v>114</v>
      </c>
      <c r="D31" s="9" t="s">
        <v>115</v>
      </c>
      <c r="E31" s="9" t="s">
        <v>145</v>
      </c>
      <c r="F31" s="9" t="s">
        <v>117</v>
      </c>
      <c r="G31" s="9" t="s">
        <v>69</v>
      </c>
      <c r="H31" s="9" t="s">
        <v>152</v>
      </c>
      <c r="I31" s="9" t="s">
        <v>143</v>
      </c>
      <c r="J31" s="9" t="s">
        <v>158</v>
      </c>
      <c r="K31" s="9" t="s">
        <v>149</v>
      </c>
      <c r="L31" s="10" t="n">
        <v>143</v>
      </c>
      <c r="M31" s="11" t="n">
        <v>3</v>
      </c>
      <c r="N31" s="11" t="n">
        <v>8</v>
      </c>
      <c r="O31" s="12" t="s">
        <v>121</v>
      </c>
      <c r="P31" s="12" t="s">
        <v>150</v>
      </c>
      <c r="Q31" s="12" t="s">
        <v>84</v>
      </c>
      <c r="R31" s="12" t="s">
        <v>85</v>
      </c>
      <c r="S31" s="1"/>
      <c r="T31" s="1"/>
    </row>
    <row r="32" customFormat="false" ht="15" hidden="false" customHeight="false" outlineLevel="0" collapsed="false">
      <c r="A32" s="1"/>
      <c r="B32" s="9" t="s">
        <v>159</v>
      </c>
      <c r="C32" s="9" t="s">
        <v>114</v>
      </c>
      <c r="D32" s="9" t="s">
        <v>115</v>
      </c>
      <c r="E32" s="9" t="s">
        <v>145</v>
      </c>
      <c r="F32" s="9" t="s">
        <v>117</v>
      </c>
      <c r="G32" s="9" t="s">
        <v>69</v>
      </c>
      <c r="H32" s="9" t="s">
        <v>152</v>
      </c>
      <c r="I32" s="9" t="s">
        <v>143</v>
      </c>
      <c r="J32" s="9" t="s">
        <v>119</v>
      </c>
      <c r="K32" s="9" t="s">
        <v>149</v>
      </c>
      <c r="L32" s="10" t="n">
        <v>143</v>
      </c>
      <c r="M32" s="11" t="n">
        <v>5</v>
      </c>
      <c r="N32" s="11" t="n">
        <v>8</v>
      </c>
      <c r="O32" s="12" t="s">
        <v>121</v>
      </c>
      <c r="P32" s="12" t="s">
        <v>150</v>
      </c>
      <c r="Q32" s="12" t="s">
        <v>84</v>
      </c>
      <c r="R32" s="12" t="s">
        <v>85</v>
      </c>
      <c r="S32" s="1"/>
      <c r="T32" s="1"/>
    </row>
    <row r="33" customFormat="false" ht="15" hidden="false" customHeight="false" outlineLevel="0" collapsed="false">
      <c r="A33" s="1"/>
      <c r="B33" s="9" t="s">
        <v>160</v>
      </c>
      <c r="C33" s="9" t="s">
        <v>114</v>
      </c>
      <c r="D33" s="9" t="s">
        <v>115</v>
      </c>
      <c r="E33" s="9" t="s">
        <v>145</v>
      </c>
      <c r="F33" s="9" t="s">
        <v>117</v>
      </c>
      <c r="G33" s="9" t="s">
        <v>69</v>
      </c>
      <c r="H33" s="9"/>
      <c r="I33" s="9"/>
      <c r="J33" s="9"/>
      <c r="K33" s="9"/>
      <c r="L33" s="10" t="n">
        <v>0</v>
      </c>
      <c r="M33" s="11" t="n">
        <v>0</v>
      </c>
      <c r="N33" s="11" t="n">
        <v>0</v>
      </c>
      <c r="O33" s="12" t="s">
        <v>121</v>
      </c>
      <c r="P33" s="12" t="s">
        <v>150</v>
      </c>
      <c r="Q33" s="12" t="s">
        <v>75</v>
      </c>
      <c r="R33" s="12" t="s">
        <v>161</v>
      </c>
      <c r="S33" s="1"/>
      <c r="T33" s="1"/>
    </row>
    <row r="34" customFormat="false" ht="15" hidden="false" customHeight="false" outlineLevel="0" collapsed="false">
      <c r="A34" s="1"/>
      <c r="B34" s="9" t="s">
        <v>162</v>
      </c>
      <c r="C34" s="9" t="s">
        <v>114</v>
      </c>
      <c r="D34" s="9" t="s">
        <v>115</v>
      </c>
      <c r="E34" s="9" t="s">
        <v>145</v>
      </c>
      <c r="F34" s="9" t="s">
        <v>117</v>
      </c>
      <c r="G34" s="9" t="s">
        <v>69</v>
      </c>
      <c r="H34" s="9"/>
      <c r="I34" s="9"/>
      <c r="J34" s="9"/>
      <c r="K34" s="9"/>
      <c r="L34" s="10" t="n">
        <v>0</v>
      </c>
      <c r="M34" s="11" t="n">
        <v>0</v>
      </c>
      <c r="N34" s="11" t="n">
        <v>0</v>
      </c>
      <c r="O34" s="12" t="s">
        <v>121</v>
      </c>
      <c r="P34" s="12" t="s">
        <v>150</v>
      </c>
      <c r="Q34" s="12" t="s">
        <v>75</v>
      </c>
      <c r="R34" s="12" t="s">
        <v>161</v>
      </c>
      <c r="S34" s="1"/>
      <c r="T34" s="1"/>
    </row>
    <row r="35" customFormat="false" ht="15" hidden="false" customHeight="false" outlineLevel="0" collapsed="false">
      <c r="A35" s="1"/>
      <c r="B35" s="9" t="s">
        <v>163</v>
      </c>
      <c r="C35" s="9" t="s">
        <v>114</v>
      </c>
      <c r="D35" s="9" t="s">
        <v>115</v>
      </c>
      <c r="E35" s="9" t="s">
        <v>164</v>
      </c>
      <c r="F35" s="9" t="s">
        <v>117</v>
      </c>
      <c r="G35" s="9" t="s">
        <v>69</v>
      </c>
      <c r="H35" s="9"/>
      <c r="I35" s="9"/>
      <c r="J35" s="9"/>
      <c r="K35" s="9"/>
      <c r="L35" s="10" t="n">
        <v>0</v>
      </c>
      <c r="M35" s="11" t="n">
        <v>0</v>
      </c>
      <c r="N35" s="11" t="n">
        <v>0</v>
      </c>
      <c r="O35" s="12" t="s">
        <v>121</v>
      </c>
      <c r="P35" s="12" t="s">
        <v>150</v>
      </c>
      <c r="Q35" s="12" t="s">
        <v>75</v>
      </c>
      <c r="R35" s="12" t="s">
        <v>161</v>
      </c>
      <c r="S35" s="1"/>
      <c r="T35" s="1"/>
    </row>
    <row r="36" customFormat="false" ht="15" hidden="false" customHeight="false" outlineLevel="0" collapsed="false">
      <c r="A36" s="1"/>
      <c r="B36" s="9" t="s">
        <v>165</v>
      </c>
      <c r="C36" s="9" t="s">
        <v>114</v>
      </c>
      <c r="D36" s="9" t="s">
        <v>115</v>
      </c>
      <c r="E36" s="9" t="s">
        <v>164</v>
      </c>
      <c r="F36" s="9" t="s">
        <v>117</v>
      </c>
      <c r="G36" s="9" t="s">
        <v>69</v>
      </c>
      <c r="H36" s="9" t="s">
        <v>118</v>
      </c>
      <c r="I36" s="9" t="s">
        <v>153</v>
      </c>
      <c r="J36" s="9" t="s">
        <v>148</v>
      </c>
      <c r="K36" s="9" t="s">
        <v>166</v>
      </c>
      <c r="L36" s="10" t="n">
        <v>167</v>
      </c>
      <c r="M36" s="11" t="n">
        <v>6</v>
      </c>
      <c r="N36" s="11" t="n">
        <v>8</v>
      </c>
      <c r="O36" s="12" t="s">
        <v>121</v>
      </c>
      <c r="P36" s="12" t="s">
        <v>150</v>
      </c>
      <c r="Q36" s="12" t="s">
        <v>84</v>
      </c>
      <c r="R36" s="12" t="s">
        <v>85</v>
      </c>
      <c r="S36" s="1"/>
      <c r="T36" s="1"/>
    </row>
    <row r="37" customFormat="false" ht="15" hidden="false" customHeight="false" outlineLevel="0" collapsed="false">
      <c r="A37" s="1"/>
      <c r="B37" s="9" t="s">
        <v>167</v>
      </c>
      <c r="C37" s="9" t="s">
        <v>114</v>
      </c>
      <c r="D37" s="9" t="s">
        <v>115</v>
      </c>
      <c r="E37" s="9" t="s">
        <v>164</v>
      </c>
      <c r="F37" s="9" t="s">
        <v>117</v>
      </c>
      <c r="G37" s="9" t="s">
        <v>69</v>
      </c>
      <c r="H37" s="9" t="s">
        <v>118</v>
      </c>
      <c r="I37" s="9" t="s">
        <v>168</v>
      </c>
      <c r="J37" s="9" t="s">
        <v>169</v>
      </c>
      <c r="K37" s="9" t="s">
        <v>166</v>
      </c>
      <c r="L37" s="10" t="n">
        <v>167</v>
      </c>
      <c r="M37" s="11" t="n">
        <v>4</v>
      </c>
      <c r="N37" s="11" t="n">
        <v>8</v>
      </c>
      <c r="O37" s="12" t="s">
        <v>121</v>
      </c>
      <c r="P37" s="12" t="s">
        <v>150</v>
      </c>
      <c r="Q37" s="12" t="s">
        <v>84</v>
      </c>
      <c r="R37" s="12" t="s">
        <v>85</v>
      </c>
      <c r="S37" s="1"/>
      <c r="T37" s="1"/>
    </row>
    <row r="38" customFormat="false" ht="15" hidden="false" customHeight="false" outlineLevel="0" collapsed="false">
      <c r="A38" s="1"/>
      <c r="B38" s="9" t="s">
        <v>170</v>
      </c>
      <c r="C38" s="9" t="s">
        <v>114</v>
      </c>
      <c r="D38" s="9" t="s">
        <v>115</v>
      </c>
      <c r="E38" s="9" t="s">
        <v>164</v>
      </c>
      <c r="F38" s="9" t="s">
        <v>171</v>
      </c>
      <c r="G38" s="9" t="s">
        <v>69</v>
      </c>
      <c r="H38" s="9" t="s">
        <v>172</v>
      </c>
      <c r="I38" s="9" t="s">
        <v>143</v>
      </c>
      <c r="J38" s="9" t="s">
        <v>148</v>
      </c>
      <c r="K38" s="9" t="s">
        <v>166</v>
      </c>
      <c r="L38" s="10" t="n">
        <v>250.5</v>
      </c>
      <c r="M38" s="11" t="n">
        <v>2</v>
      </c>
      <c r="N38" s="11" t="n">
        <v>8</v>
      </c>
      <c r="O38" s="12" t="s">
        <v>121</v>
      </c>
      <c r="P38" s="12" t="s">
        <v>150</v>
      </c>
      <c r="Q38" s="12" t="s">
        <v>84</v>
      </c>
      <c r="R38" s="12" t="s">
        <v>173</v>
      </c>
      <c r="S38" s="1"/>
      <c r="T38" s="1"/>
    </row>
    <row r="39" customFormat="false" ht="15" hidden="false" customHeight="false" outlineLevel="0" collapsed="false">
      <c r="A39" s="1"/>
      <c r="B39" s="9" t="s">
        <v>174</v>
      </c>
      <c r="C39" s="9" t="s">
        <v>114</v>
      </c>
      <c r="D39" s="9" t="s">
        <v>124</v>
      </c>
      <c r="E39" s="9" t="s">
        <v>175</v>
      </c>
      <c r="F39" s="9" t="s">
        <v>117</v>
      </c>
      <c r="G39" s="9" t="s">
        <v>69</v>
      </c>
      <c r="H39" s="9" t="s">
        <v>176</v>
      </c>
      <c r="I39" s="9" t="s">
        <v>147</v>
      </c>
      <c r="J39" s="9" t="s">
        <v>148</v>
      </c>
      <c r="K39" s="9" t="s">
        <v>149</v>
      </c>
      <c r="L39" s="10" t="n">
        <v>143</v>
      </c>
      <c r="M39" s="11" t="n">
        <v>8</v>
      </c>
      <c r="N39" s="11" t="n">
        <v>8</v>
      </c>
      <c r="O39" s="12" t="s">
        <v>129</v>
      </c>
      <c r="P39" s="12" t="s">
        <v>177</v>
      </c>
      <c r="Q39" s="12" t="s">
        <v>84</v>
      </c>
      <c r="R39" s="12" t="s">
        <v>85</v>
      </c>
      <c r="S39" s="1"/>
      <c r="T39" s="1"/>
    </row>
    <row r="40" customFormat="false" ht="15" hidden="false" customHeight="false" outlineLevel="0" collapsed="false">
      <c r="A40" s="1"/>
      <c r="B40" s="9" t="s">
        <v>178</v>
      </c>
      <c r="C40" s="9" t="s">
        <v>114</v>
      </c>
      <c r="D40" s="9" t="s">
        <v>124</v>
      </c>
      <c r="E40" s="9" t="s">
        <v>175</v>
      </c>
      <c r="F40" s="9" t="s">
        <v>117</v>
      </c>
      <c r="G40" s="9" t="s">
        <v>69</v>
      </c>
      <c r="H40" s="9" t="s">
        <v>179</v>
      </c>
      <c r="I40" s="9" t="s">
        <v>147</v>
      </c>
      <c r="J40" s="9" t="s">
        <v>180</v>
      </c>
      <c r="K40" s="9" t="s">
        <v>149</v>
      </c>
      <c r="L40" s="10" t="n">
        <v>143</v>
      </c>
      <c r="M40" s="11" t="n">
        <v>6</v>
      </c>
      <c r="N40" s="11" t="n">
        <v>8</v>
      </c>
      <c r="O40" s="12" t="s">
        <v>129</v>
      </c>
      <c r="P40" s="12" t="s">
        <v>177</v>
      </c>
      <c r="Q40" s="12" t="s">
        <v>84</v>
      </c>
      <c r="R40" s="12" t="s">
        <v>85</v>
      </c>
      <c r="S40" s="1"/>
      <c r="T40" s="1"/>
    </row>
    <row r="41" customFormat="false" ht="15" hidden="false" customHeight="false" outlineLevel="0" collapsed="false">
      <c r="A41" s="1"/>
      <c r="B41" s="9" t="s">
        <v>181</v>
      </c>
      <c r="C41" s="9" t="s">
        <v>114</v>
      </c>
      <c r="D41" s="9" t="s">
        <v>124</v>
      </c>
      <c r="E41" s="9" t="s">
        <v>175</v>
      </c>
      <c r="F41" s="9" t="s">
        <v>117</v>
      </c>
      <c r="G41" s="9" t="s">
        <v>69</v>
      </c>
      <c r="H41" s="9" t="s">
        <v>182</v>
      </c>
      <c r="I41" s="9" t="s">
        <v>183</v>
      </c>
      <c r="J41" s="9" t="s">
        <v>184</v>
      </c>
      <c r="K41" s="9" t="s">
        <v>149</v>
      </c>
      <c r="L41" s="10" t="n">
        <v>143</v>
      </c>
      <c r="M41" s="11" t="n">
        <v>7</v>
      </c>
      <c r="N41" s="11" t="n">
        <v>8</v>
      </c>
      <c r="O41" s="12" t="s">
        <v>129</v>
      </c>
      <c r="P41" s="12" t="s">
        <v>177</v>
      </c>
      <c r="Q41" s="12" t="s">
        <v>84</v>
      </c>
      <c r="R41" s="12" t="s">
        <v>85</v>
      </c>
      <c r="S41" s="1"/>
      <c r="T41" s="1"/>
    </row>
    <row r="42" customFormat="false" ht="15" hidden="false" customHeight="false" outlineLevel="0" collapsed="false">
      <c r="A42" s="1"/>
      <c r="B42" s="9" t="s">
        <v>185</v>
      </c>
      <c r="C42" s="9" t="s">
        <v>114</v>
      </c>
      <c r="D42" s="9" t="s">
        <v>124</v>
      </c>
      <c r="E42" s="9" t="s">
        <v>175</v>
      </c>
      <c r="F42" s="9" t="s">
        <v>117</v>
      </c>
      <c r="G42" s="9" t="s">
        <v>69</v>
      </c>
      <c r="H42" s="9" t="s">
        <v>176</v>
      </c>
      <c r="I42" s="9" t="s">
        <v>168</v>
      </c>
      <c r="J42" s="9" t="s">
        <v>186</v>
      </c>
      <c r="K42" s="9" t="s">
        <v>149</v>
      </c>
      <c r="L42" s="10" t="n">
        <v>143</v>
      </c>
      <c r="M42" s="11" t="n">
        <v>7</v>
      </c>
      <c r="N42" s="11" t="n">
        <v>8</v>
      </c>
      <c r="O42" s="12" t="s">
        <v>129</v>
      </c>
      <c r="P42" s="12" t="s">
        <v>177</v>
      </c>
      <c r="Q42" s="12" t="s">
        <v>84</v>
      </c>
      <c r="R42" s="12" t="s">
        <v>85</v>
      </c>
      <c r="S42" s="1"/>
      <c r="T42" s="1"/>
    </row>
    <row r="43" customFormat="false" ht="15" hidden="false" customHeight="false" outlineLevel="0" collapsed="false">
      <c r="A43" s="1"/>
      <c r="B43" s="9" t="s">
        <v>187</v>
      </c>
      <c r="C43" s="9" t="s">
        <v>114</v>
      </c>
      <c r="D43" s="9" t="s">
        <v>124</v>
      </c>
      <c r="E43" s="9" t="s">
        <v>175</v>
      </c>
      <c r="F43" s="9" t="s">
        <v>117</v>
      </c>
      <c r="G43" s="9" t="s">
        <v>69</v>
      </c>
      <c r="H43" s="9" t="s">
        <v>188</v>
      </c>
      <c r="I43" s="9" t="s">
        <v>140</v>
      </c>
      <c r="J43" s="9" t="s">
        <v>148</v>
      </c>
      <c r="K43" s="9" t="s">
        <v>149</v>
      </c>
      <c r="L43" s="10" t="n">
        <v>143</v>
      </c>
      <c r="M43" s="11" t="n">
        <v>8</v>
      </c>
      <c r="N43" s="11" t="n">
        <v>8</v>
      </c>
      <c r="O43" s="12" t="s">
        <v>129</v>
      </c>
      <c r="P43" s="12" t="s">
        <v>177</v>
      </c>
      <c r="Q43" s="12" t="s">
        <v>84</v>
      </c>
      <c r="R43" s="12" t="s">
        <v>85</v>
      </c>
      <c r="S43" s="1"/>
      <c r="T43" s="1"/>
    </row>
    <row r="44" customFormat="false" ht="15" hidden="false" customHeight="false" outlineLevel="0" collapsed="false">
      <c r="A44" s="1"/>
      <c r="B44" s="9" t="s">
        <v>189</v>
      </c>
      <c r="C44" s="9" t="s">
        <v>114</v>
      </c>
      <c r="D44" s="9" t="s">
        <v>124</v>
      </c>
      <c r="E44" s="9" t="s">
        <v>175</v>
      </c>
      <c r="F44" s="9" t="s">
        <v>117</v>
      </c>
      <c r="G44" s="9" t="s">
        <v>69</v>
      </c>
      <c r="H44" s="9" t="s">
        <v>190</v>
      </c>
      <c r="I44" s="9" t="s">
        <v>191</v>
      </c>
      <c r="J44" s="9" t="s">
        <v>148</v>
      </c>
      <c r="K44" s="9" t="s">
        <v>149</v>
      </c>
      <c r="L44" s="10" t="n">
        <v>143</v>
      </c>
      <c r="M44" s="11" t="n">
        <v>4</v>
      </c>
      <c r="N44" s="11" t="n">
        <v>8</v>
      </c>
      <c r="O44" s="12" t="s">
        <v>129</v>
      </c>
      <c r="P44" s="12" t="s">
        <v>177</v>
      </c>
      <c r="Q44" s="12" t="s">
        <v>84</v>
      </c>
      <c r="R44" s="12" t="s">
        <v>85</v>
      </c>
      <c r="S44" s="1"/>
      <c r="T44" s="1"/>
    </row>
    <row r="45" customFormat="false" ht="15" hidden="false" customHeight="false" outlineLevel="0" collapsed="false">
      <c r="A45" s="1"/>
      <c r="B45" s="9" t="s">
        <v>192</v>
      </c>
      <c r="C45" s="9" t="s">
        <v>114</v>
      </c>
      <c r="D45" s="9" t="s">
        <v>124</v>
      </c>
      <c r="E45" s="9" t="s">
        <v>175</v>
      </c>
      <c r="F45" s="9" t="s">
        <v>117</v>
      </c>
      <c r="G45" s="9" t="s">
        <v>69</v>
      </c>
      <c r="H45" s="9" t="s">
        <v>176</v>
      </c>
      <c r="I45" s="9" t="s">
        <v>143</v>
      </c>
      <c r="J45" s="9" t="s">
        <v>148</v>
      </c>
      <c r="K45" s="9" t="s">
        <v>149</v>
      </c>
      <c r="L45" s="10" t="n">
        <v>143</v>
      </c>
      <c r="M45" s="11" t="n">
        <v>7</v>
      </c>
      <c r="N45" s="11" t="n">
        <v>8</v>
      </c>
      <c r="O45" s="12" t="s">
        <v>129</v>
      </c>
      <c r="P45" s="12" t="s">
        <v>177</v>
      </c>
      <c r="Q45" s="12" t="s">
        <v>84</v>
      </c>
      <c r="R45" s="12" t="s">
        <v>85</v>
      </c>
      <c r="S45" s="1"/>
      <c r="T45" s="1"/>
    </row>
    <row r="46" customFormat="false" ht="15" hidden="false" customHeight="false" outlineLevel="0" collapsed="false">
      <c r="A46" s="1"/>
      <c r="B46" s="9" t="s">
        <v>193</v>
      </c>
      <c r="C46" s="9" t="s">
        <v>114</v>
      </c>
      <c r="D46" s="9" t="s">
        <v>124</v>
      </c>
      <c r="E46" s="9" t="s">
        <v>175</v>
      </c>
      <c r="F46" s="9" t="s">
        <v>117</v>
      </c>
      <c r="G46" s="9" t="s">
        <v>69</v>
      </c>
      <c r="H46" s="9" t="s">
        <v>176</v>
      </c>
      <c r="I46" s="9" t="s">
        <v>143</v>
      </c>
      <c r="J46" s="9" t="s">
        <v>180</v>
      </c>
      <c r="K46" s="9" t="s">
        <v>149</v>
      </c>
      <c r="L46" s="10" t="n">
        <v>143</v>
      </c>
      <c r="M46" s="11" t="n">
        <v>4</v>
      </c>
      <c r="N46" s="11" t="n">
        <v>8</v>
      </c>
      <c r="O46" s="12" t="s">
        <v>129</v>
      </c>
      <c r="P46" s="12" t="s">
        <v>177</v>
      </c>
      <c r="Q46" s="12" t="s">
        <v>84</v>
      </c>
      <c r="R46" s="12" t="s">
        <v>85</v>
      </c>
      <c r="S46" s="1"/>
      <c r="T46" s="1"/>
    </row>
    <row r="47" customFormat="false" ht="15" hidden="false" customHeight="false" outlineLevel="0" collapsed="false">
      <c r="A47" s="1"/>
      <c r="B47" s="9" t="s">
        <v>194</v>
      </c>
      <c r="C47" s="9" t="s">
        <v>114</v>
      </c>
      <c r="D47" s="9" t="s">
        <v>124</v>
      </c>
      <c r="E47" s="9" t="s">
        <v>175</v>
      </c>
      <c r="F47" s="9" t="s">
        <v>117</v>
      </c>
      <c r="G47" s="9" t="s">
        <v>69</v>
      </c>
      <c r="H47" s="9"/>
      <c r="I47" s="9"/>
      <c r="J47" s="9"/>
      <c r="K47" s="9"/>
      <c r="L47" s="10" t="n">
        <v>0</v>
      </c>
      <c r="M47" s="11" t="n">
        <v>0</v>
      </c>
      <c r="N47" s="11" t="n">
        <v>0</v>
      </c>
      <c r="O47" s="12" t="s">
        <v>129</v>
      </c>
      <c r="P47" s="12" t="s">
        <v>177</v>
      </c>
      <c r="Q47" s="12" t="s">
        <v>75</v>
      </c>
      <c r="R47" s="12" t="s">
        <v>161</v>
      </c>
      <c r="S47" s="1"/>
      <c r="T47" s="1"/>
    </row>
    <row r="48" customFormat="false" ht="15" hidden="false" customHeight="false" outlineLevel="0" collapsed="false">
      <c r="A48" s="1"/>
      <c r="B48" s="9" t="s">
        <v>195</v>
      </c>
      <c r="C48" s="9" t="s">
        <v>114</v>
      </c>
      <c r="D48" s="9" t="s">
        <v>124</v>
      </c>
      <c r="E48" s="9" t="s">
        <v>175</v>
      </c>
      <c r="F48" s="9" t="s">
        <v>117</v>
      </c>
      <c r="G48" s="9" t="s">
        <v>69</v>
      </c>
      <c r="H48" s="9"/>
      <c r="I48" s="9"/>
      <c r="J48" s="9"/>
      <c r="K48" s="9"/>
      <c r="L48" s="10" t="n">
        <v>0</v>
      </c>
      <c r="M48" s="11" t="n">
        <v>0</v>
      </c>
      <c r="N48" s="11" t="n">
        <v>0</v>
      </c>
      <c r="O48" s="12" t="s">
        <v>129</v>
      </c>
      <c r="P48" s="12" t="s">
        <v>177</v>
      </c>
      <c r="Q48" s="12" t="s">
        <v>75</v>
      </c>
      <c r="R48" s="12" t="s">
        <v>161</v>
      </c>
      <c r="S48" s="1"/>
      <c r="T48" s="1"/>
    </row>
    <row r="49" customFormat="false" ht="15" hidden="false" customHeight="false" outlineLevel="0" collapsed="false">
      <c r="A49" s="1"/>
      <c r="B49" s="9" t="s">
        <v>196</v>
      </c>
      <c r="C49" s="9" t="s">
        <v>114</v>
      </c>
      <c r="D49" s="9" t="s">
        <v>124</v>
      </c>
      <c r="E49" s="9" t="s">
        <v>175</v>
      </c>
      <c r="F49" s="9" t="s">
        <v>117</v>
      </c>
      <c r="G49" s="9" t="s">
        <v>69</v>
      </c>
      <c r="H49" s="9"/>
      <c r="I49" s="9"/>
      <c r="J49" s="9"/>
      <c r="K49" s="9"/>
      <c r="L49" s="10" t="n">
        <v>0</v>
      </c>
      <c r="M49" s="11" t="n">
        <v>0</v>
      </c>
      <c r="N49" s="11" t="n">
        <v>0</v>
      </c>
      <c r="O49" s="12" t="s">
        <v>129</v>
      </c>
      <c r="P49" s="12" t="s">
        <v>177</v>
      </c>
      <c r="Q49" s="12" t="s">
        <v>75</v>
      </c>
      <c r="R49" s="12" t="s">
        <v>161</v>
      </c>
      <c r="S49" s="1"/>
      <c r="T49" s="1"/>
    </row>
    <row r="50" customFormat="false" ht="15" hidden="false" customHeight="false" outlineLevel="0" collapsed="false">
      <c r="A50" s="1"/>
      <c r="B50" s="9" t="s">
        <v>197</v>
      </c>
      <c r="C50" s="9" t="s">
        <v>114</v>
      </c>
      <c r="D50" s="9" t="s">
        <v>124</v>
      </c>
      <c r="E50" s="9" t="s">
        <v>175</v>
      </c>
      <c r="F50" s="9" t="s">
        <v>117</v>
      </c>
      <c r="G50" s="9" t="s">
        <v>69</v>
      </c>
      <c r="H50" s="9" t="s">
        <v>198</v>
      </c>
      <c r="I50" s="9" t="s">
        <v>153</v>
      </c>
      <c r="J50" s="9" t="s">
        <v>158</v>
      </c>
      <c r="K50" s="9" t="s">
        <v>149</v>
      </c>
      <c r="L50" s="10" t="n">
        <v>143</v>
      </c>
      <c r="M50" s="11" t="n">
        <v>3</v>
      </c>
      <c r="N50" s="11" t="n">
        <v>8</v>
      </c>
      <c r="O50" s="12" t="s">
        <v>129</v>
      </c>
      <c r="P50" s="12" t="s">
        <v>177</v>
      </c>
      <c r="Q50" s="12" t="s">
        <v>84</v>
      </c>
      <c r="R50" s="12" t="s">
        <v>85</v>
      </c>
      <c r="S50" s="1"/>
      <c r="T50" s="1"/>
    </row>
    <row r="51" customFormat="false" ht="15" hidden="false" customHeight="false" outlineLevel="0" collapsed="false">
      <c r="A51" s="1"/>
      <c r="B51" s="9" t="s">
        <v>199</v>
      </c>
      <c r="C51" s="9" t="s">
        <v>114</v>
      </c>
      <c r="D51" s="9" t="s">
        <v>124</v>
      </c>
      <c r="E51" s="9" t="s">
        <v>175</v>
      </c>
      <c r="F51" s="9" t="s">
        <v>117</v>
      </c>
      <c r="G51" s="9" t="s">
        <v>69</v>
      </c>
      <c r="H51" s="9" t="s">
        <v>172</v>
      </c>
      <c r="I51" s="9" t="s">
        <v>153</v>
      </c>
      <c r="J51" s="9" t="s">
        <v>119</v>
      </c>
      <c r="K51" s="9" t="s">
        <v>149</v>
      </c>
      <c r="L51" s="10" t="n">
        <v>143</v>
      </c>
      <c r="M51" s="11" t="n">
        <v>3</v>
      </c>
      <c r="N51" s="11" t="n">
        <v>8</v>
      </c>
      <c r="O51" s="12" t="s">
        <v>129</v>
      </c>
      <c r="P51" s="12" t="s">
        <v>177</v>
      </c>
      <c r="Q51" s="12" t="s">
        <v>84</v>
      </c>
      <c r="R51" s="12" t="s">
        <v>85</v>
      </c>
      <c r="S51" s="1"/>
      <c r="T51" s="1"/>
    </row>
    <row r="52" customFormat="false" ht="15" hidden="false" customHeight="false" outlineLevel="0" collapsed="false">
      <c r="A52" s="1"/>
      <c r="B52" s="9" t="s">
        <v>200</v>
      </c>
      <c r="C52" s="9" t="s">
        <v>114</v>
      </c>
      <c r="D52" s="9" t="s">
        <v>124</v>
      </c>
      <c r="E52" s="9" t="s">
        <v>175</v>
      </c>
      <c r="F52" s="9" t="s">
        <v>117</v>
      </c>
      <c r="G52" s="9" t="s">
        <v>69</v>
      </c>
      <c r="H52" s="9" t="s">
        <v>201</v>
      </c>
      <c r="I52" s="9" t="s">
        <v>147</v>
      </c>
      <c r="J52" s="9" t="s">
        <v>148</v>
      </c>
      <c r="K52" s="9" t="s">
        <v>149</v>
      </c>
      <c r="L52" s="10" t="n">
        <v>143</v>
      </c>
      <c r="M52" s="11" t="n">
        <v>6</v>
      </c>
      <c r="N52" s="11" t="n">
        <v>8</v>
      </c>
      <c r="O52" s="12" t="s">
        <v>129</v>
      </c>
      <c r="P52" s="12" t="s">
        <v>177</v>
      </c>
      <c r="Q52" s="12" t="s">
        <v>84</v>
      </c>
      <c r="R52" s="12" t="s">
        <v>85</v>
      </c>
      <c r="S52" s="1"/>
      <c r="T52" s="1"/>
    </row>
    <row r="53" customFormat="false" ht="15" hidden="false" customHeight="false" outlineLevel="0" collapsed="false">
      <c r="A53" s="1"/>
      <c r="B53" s="9" t="s">
        <v>202</v>
      </c>
      <c r="C53" s="9" t="s">
        <v>114</v>
      </c>
      <c r="D53" s="9" t="s">
        <v>124</v>
      </c>
      <c r="E53" s="9" t="s">
        <v>175</v>
      </c>
      <c r="F53" s="9" t="s">
        <v>117</v>
      </c>
      <c r="G53" s="9" t="s">
        <v>69</v>
      </c>
      <c r="H53" s="9" t="s">
        <v>203</v>
      </c>
      <c r="I53" s="9" t="s">
        <v>147</v>
      </c>
      <c r="J53" s="9" t="s">
        <v>180</v>
      </c>
      <c r="K53" s="9" t="s">
        <v>149</v>
      </c>
      <c r="L53" s="10" t="n">
        <v>143</v>
      </c>
      <c r="M53" s="11" t="n">
        <v>5</v>
      </c>
      <c r="N53" s="11" t="n">
        <v>8</v>
      </c>
      <c r="O53" s="12" t="s">
        <v>129</v>
      </c>
      <c r="P53" s="12" t="s">
        <v>177</v>
      </c>
      <c r="Q53" s="12" t="s">
        <v>84</v>
      </c>
      <c r="R53" s="12" t="s">
        <v>85</v>
      </c>
      <c r="S53" s="1"/>
      <c r="T53" s="1"/>
    </row>
    <row r="54" customFormat="false" ht="15" hidden="false" customHeight="false" outlineLevel="0" collapsed="false">
      <c r="A54" s="1"/>
      <c r="B54" s="9" t="s">
        <v>204</v>
      </c>
      <c r="C54" s="9" t="s">
        <v>114</v>
      </c>
      <c r="D54" s="9" t="s">
        <v>124</v>
      </c>
      <c r="E54" s="9" t="s">
        <v>175</v>
      </c>
      <c r="F54" s="9" t="s">
        <v>117</v>
      </c>
      <c r="G54" s="9" t="s">
        <v>69</v>
      </c>
      <c r="H54" s="9" t="s">
        <v>190</v>
      </c>
      <c r="I54" s="9" t="s">
        <v>183</v>
      </c>
      <c r="J54" s="9" t="s">
        <v>184</v>
      </c>
      <c r="K54" s="9" t="s">
        <v>149</v>
      </c>
      <c r="L54" s="10" t="n">
        <v>143</v>
      </c>
      <c r="M54" s="11" t="n">
        <v>8</v>
      </c>
      <c r="N54" s="11" t="n">
        <v>8</v>
      </c>
      <c r="O54" s="12" t="s">
        <v>129</v>
      </c>
      <c r="P54" s="12" t="s">
        <v>177</v>
      </c>
      <c r="Q54" s="12" t="s">
        <v>84</v>
      </c>
      <c r="R54" s="12" t="s">
        <v>85</v>
      </c>
      <c r="S54" s="1"/>
      <c r="T54" s="1"/>
    </row>
    <row r="55" customFormat="false" ht="15" hidden="false" customHeight="false" outlineLevel="0" collapsed="false">
      <c r="A55" s="1"/>
      <c r="B55" s="9" t="s">
        <v>205</v>
      </c>
      <c r="C55" s="9" t="s">
        <v>114</v>
      </c>
      <c r="D55" s="9" t="s">
        <v>124</v>
      </c>
      <c r="E55" s="9" t="s">
        <v>175</v>
      </c>
      <c r="F55" s="9" t="s">
        <v>117</v>
      </c>
      <c r="G55" s="9" t="s">
        <v>69</v>
      </c>
      <c r="H55" s="9" t="s">
        <v>182</v>
      </c>
      <c r="I55" s="9" t="s">
        <v>183</v>
      </c>
      <c r="J55" s="9" t="s">
        <v>206</v>
      </c>
      <c r="K55" s="9" t="s">
        <v>149</v>
      </c>
      <c r="L55" s="10" t="n">
        <v>143</v>
      </c>
      <c r="M55" s="11" t="n">
        <v>6</v>
      </c>
      <c r="N55" s="11" t="n">
        <v>8</v>
      </c>
      <c r="O55" s="12" t="s">
        <v>129</v>
      </c>
      <c r="P55" s="12" t="s">
        <v>177</v>
      </c>
      <c r="Q55" s="12" t="s">
        <v>84</v>
      </c>
      <c r="R55" s="12" t="s">
        <v>85</v>
      </c>
      <c r="S55" s="1"/>
      <c r="T55" s="1"/>
    </row>
    <row r="56" customFormat="false" ht="15" hidden="false" customHeight="false" outlineLevel="0" collapsed="false">
      <c r="A56" s="1"/>
      <c r="B56" s="9" t="s">
        <v>207</v>
      </c>
      <c r="C56" s="9" t="s">
        <v>114</v>
      </c>
      <c r="D56" s="9" t="s">
        <v>124</v>
      </c>
      <c r="E56" s="9" t="s">
        <v>175</v>
      </c>
      <c r="F56" s="9" t="s">
        <v>117</v>
      </c>
      <c r="G56" s="9" t="s">
        <v>69</v>
      </c>
      <c r="H56" s="9" t="s">
        <v>208</v>
      </c>
      <c r="I56" s="9" t="s">
        <v>140</v>
      </c>
      <c r="J56" s="9" t="s">
        <v>148</v>
      </c>
      <c r="K56" s="9" t="s">
        <v>149</v>
      </c>
      <c r="L56" s="10" t="n">
        <v>143</v>
      </c>
      <c r="M56" s="11" t="n">
        <v>2</v>
      </c>
      <c r="N56" s="11" t="n">
        <v>8</v>
      </c>
      <c r="O56" s="12" t="s">
        <v>129</v>
      </c>
      <c r="P56" s="12" t="s">
        <v>177</v>
      </c>
      <c r="Q56" s="12" t="s">
        <v>84</v>
      </c>
      <c r="R56" s="12" t="s">
        <v>85</v>
      </c>
      <c r="S56" s="1"/>
      <c r="T56" s="1"/>
    </row>
    <row r="57" customFormat="false" ht="15" hidden="false" customHeight="false" outlineLevel="0" collapsed="false">
      <c r="A57" s="1"/>
      <c r="B57" s="9" t="s">
        <v>209</v>
      </c>
      <c r="C57" s="9" t="s">
        <v>114</v>
      </c>
      <c r="D57" s="9" t="s">
        <v>124</v>
      </c>
      <c r="E57" s="9" t="s">
        <v>175</v>
      </c>
      <c r="F57" s="9" t="s">
        <v>117</v>
      </c>
      <c r="G57" s="9" t="s">
        <v>69</v>
      </c>
      <c r="H57" s="9" t="s">
        <v>210</v>
      </c>
      <c r="I57" s="9" t="s">
        <v>140</v>
      </c>
      <c r="J57" s="9" t="s">
        <v>211</v>
      </c>
      <c r="K57" s="9" t="s">
        <v>149</v>
      </c>
      <c r="L57" s="10" t="n">
        <v>143</v>
      </c>
      <c r="M57" s="11" t="n">
        <v>8</v>
      </c>
      <c r="N57" s="11" t="n">
        <v>8</v>
      </c>
      <c r="O57" s="12" t="s">
        <v>129</v>
      </c>
      <c r="P57" s="12" t="s">
        <v>177</v>
      </c>
      <c r="Q57" s="12" t="s">
        <v>84</v>
      </c>
      <c r="R57" s="12" t="s">
        <v>85</v>
      </c>
      <c r="S57" s="1"/>
      <c r="T57" s="1"/>
    </row>
    <row r="58" customFormat="false" ht="15" hidden="false" customHeight="false" outlineLevel="0" collapsed="false">
      <c r="A58" s="1"/>
      <c r="B58" s="9" t="s">
        <v>212</v>
      </c>
      <c r="C58" s="9" t="s">
        <v>114</v>
      </c>
      <c r="D58" s="9" t="s">
        <v>124</v>
      </c>
      <c r="E58" s="9" t="s">
        <v>175</v>
      </c>
      <c r="F58" s="9" t="s">
        <v>117</v>
      </c>
      <c r="G58" s="9" t="s">
        <v>69</v>
      </c>
      <c r="H58" s="9" t="s">
        <v>188</v>
      </c>
      <c r="I58" s="9" t="s">
        <v>191</v>
      </c>
      <c r="J58" s="9" t="s">
        <v>148</v>
      </c>
      <c r="K58" s="9" t="s">
        <v>149</v>
      </c>
      <c r="L58" s="10" t="n">
        <v>143</v>
      </c>
      <c r="M58" s="11" t="n">
        <v>4</v>
      </c>
      <c r="N58" s="11" t="n">
        <v>8</v>
      </c>
      <c r="O58" s="12" t="s">
        <v>129</v>
      </c>
      <c r="P58" s="12" t="s">
        <v>177</v>
      </c>
      <c r="Q58" s="12" t="s">
        <v>84</v>
      </c>
      <c r="R58" s="12" t="s">
        <v>85</v>
      </c>
      <c r="S58" s="1"/>
      <c r="T58" s="1"/>
    </row>
    <row r="59" customFormat="false" ht="15" hidden="false" customHeight="false" outlineLevel="0" collapsed="false">
      <c r="A59" s="1"/>
      <c r="B59" s="9" t="s">
        <v>213</v>
      </c>
      <c r="C59" s="9" t="s">
        <v>114</v>
      </c>
      <c r="D59" s="9" t="s">
        <v>124</v>
      </c>
      <c r="E59" s="9" t="s">
        <v>175</v>
      </c>
      <c r="F59" s="9" t="s">
        <v>117</v>
      </c>
      <c r="G59" s="9" t="s">
        <v>69</v>
      </c>
      <c r="H59" s="9" t="s">
        <v>188</v>
      </c>
      <c r="I59" s="9" t="s">
        <v>191</v>
      </c>
      <c r="J59" s="9" t="s">
        <v>180</v>
      </c>
      <c r="K59" s="9" t="s">
        <v>149</v>
      </c>
      <c r="L59" s="10" t="n">
        <v>143</v>
      </c>
      <c r="M59" s="11" t="n">
        <v>6</v>
      </c>
      <c r="N59" s="11" t="n">
        <v>8</v>
      </c>
      <c r="O59" s="12" t="s">
        <v>129</v>
      </c>
      <c r="P59" s="12" t="s">
        <v>177</v>
      </c>
      <c r="Q59" s="12" t="s">
        <v>84</v>
      </c>
      <c r="R59" s="12" t="s">
        <v>85</v>
      </c>
      <c r="S59" s="1"/>
      <c r="T59" s="1"/>
    </row>
    <row r="60" customFormat="false" ht="15" hidden="false" customHeight="false" outlineLevel="0" collapsed="false">
      <c r="A60" s="1"/>
      <c r="B60" s="9" t="s">
        <v>214</v>
      </c>
      <c r="C60" s="9" t="s">
        <v>114</v>
      </c>
      <c r="D60" s="9" t="s">
        <v>124</v>
      </c>
      <c r="E60" s="9" t="s">
        <v>175</v>
      </c>
      <c r="F60" s="9" t="s">
        <v>117</v>
      </c>
      <c r="G60" s="9" t="s">
        <v>69</v>
      </c>
      <c r="H60" s="9" t="s">
        <v>215</v>
      </c>
      <c r="I60" s="9" t="s">
        <v>143</v>
      </c>
      <c r="J60" s="9" t="s">
        <v>148</v>
      </c>
      <c r="K60" s="9" t="s">
        <v>149</v>
      </c>
      <c r="L60" s="10" t="n">
        <v>143</v>
      </c>
      <c r="M60" s="11" t="n">
        <v>5</v>
      </c>
      <c r="N60" s="11" t="n">
        <v>8</v>
      </c>
      <c r="O60" s="12" t="s">
        <v>129</v>
      </c>
      <c r="P60" s="12" t="s">
        <v>177</v>
      </c>
      <c r="Q60" s="12" t="s">
        <v>84</v>
      </c>
      <c r="R60" s="12" t="s">
        <v>85</v>
      </c>
      <c r="S60" s="1"/>
      <c r="T60" s="1"/>
    </row>
    <row r="61" customFormat="false" ht="15" hidden="false" customHeight="false" outlineLevel="0" collapsed="false">
      <c r="A61" s="1"/>
      <c r="B61" s="9" t="s">
        <v>216</v>
      </c>
      <c r="C61" s="9" t="s">
        <v>114</v>
      </c>
      <c r="D61" s="9" t="s">
        <v>124</v>
      </c>
      <c r="E61" s="9" t="s">
        <v>175</v>
      </c>
      <c r="F61" s="9" t="s">
        <v>117</v>
      </c>
      <c r="G61" s="9" t="s">
        <v>69</v>
      </c>
      <c r="H61" s="9" t="s">
        <v>215</v>
      </c>
      <c r="I61" s="9" t="s">
        <v>143</v>
      </c>
      <c r="J61" s="9" t="s">
        <v>180</v>
      </c>
      <c r="K61" s="9" t="s">
        <v>149</v>
      </c>
      <c r="L61" s="10" t="n">
        <v>143</v>
      </c>
      <c r="M61" s="11" t="n">
        <v>5</v>
      </c>
      <c r="N61" s="11" t="n">
        <v>8</v>
      </c>
      <c r="O61" s="12" t="s">
        <v>129</v>
      </c>
      <c r="P61" s="12" t="s">
        <v>177</v>
      </c>
      <c r="Q61" s="12" t="s">
        <v>84</v>
      </c>
      <c r="R61" s="12" t="s">
        <v>85</v>
      </c>
      <c r="S61" s="1"/>
      <c r="T61" s="1"/>
    </row>
    <row r="62" customFormat="false" ht="15" hidden="false" customHeight="false" outlineLevel="0" collapsed="false">
      <c r="A62" s="1"/>
      <c r="B62" s="9" t="s">
        <v>217</v>
      </c>
      <c r="C62" s="9" t="s">
        <v>114</v>
      </c>
      <c r="D62" s="9" t="s">
        <v>124</v>
      </c>
      <c r="E62" s="9" t="s">
        <v>175</v>
      </c>
      <c r="F62" s="9" t="s">
        <v>117</v>
      </c>
      <c r="G62" s="9" t="s">
        <v>69</v>
      </c>
      <c r="H62" s="9"/>
      <c r="I62" s="9"/>
      <c r="J62" s="9"/>
      <c r="K62" s="9"/>
      <c r="L62" s="10" t="n">
        <v>0</v>
      </c>
      <c r="M62" s="11" t="n">
        <v>0</v>
      </c>
      <c r="N62" s="11" t="n">
        <v>0</v>
      </c>
      <c r="O62" s="12" t="s">
        <v>129</v>
      </c>
      <c r="P62" s="12" t="s">
        <v>177</v>
      </c>
      <c r="Q62" s="12" t="s">
        <v>75</v>
      </c>
      <c r="R62" s="12" t="s">
        <v>161</v>
      </c>
      <c r="S62" s="1"/>
      <c r="T62" s="1"/>
    </row>
    <row r="63" customFormat="false" ht="15" hidden="false" customHeight="false" outlineLevel="0" collapsed="false">
      <c r="A63" s="1"/>
      <c r="B63" s="9" t="s">
        <v>218</v>
      </c>
      <c r="C63" s="9" t="s">
        <v>114</v>
      </c>
      <c r="D63" s="9" t="s">
        <v>124</v>
      </c>
      <c r="E63" s="9" t="s">
        <v>175</v>
      </c>
      <c r="F63" s="9" t="s">
        <v>117</v>
      </c>
      <c r="G63" s="9" t="s">
        <v>69</v>
      </c>
      <c r="H63" s="9"/>
      <c r="I63" s="9"/>
      <c r="J63" s="9"/>
      <c r="K63" s="9" t="s">
        <v>149</v>
      </c>
      <c r="L63" s="10" t="n">
        <v>0</v>
      </c>
      <c r="M63" s="11" t="n">
        <v>0</v>
      </c>
      <c r="N63" s="11" t="n">
        <v>0</v>
      </c>
      <c r="O63" s="12" t="s">
        <v>129</v>
      </c>
      <c r="P63" s="12" t="s">
        <v>177</v>
      </c>
      <c r="Q63" s="12" t="s">
        <v>75</v>
      </c>
      <c r="R63" s="12" t="s">
        <v>161</v>
      </c>
      <c r="S63" s="1"/>
      <c r="T63" s="1"/>
    </row>
    <row r="64" customFormat="false" ht="15" hidden="false" customHeight="false" outlineLevel="0" collapsed="false">
      <c r="A64" s="1"/>
      <c r="B64" s="9" t="s">
        <v>219</v>
      </c>
      <c r="C64" s="9" t="s">
        <v>114</v>
      </c>
      <c r="D64" s="9" t="s">
        <v>124</v>
      </c>
      <c r="E64" s="9" t="s">
        <v>175</v>
      </c>
      <c r="F64" s="9" t="s">
        <v>171</v>
      </c>
      <c r="G64" s="9" t="s">
        <v>69</v>
      </c>
      <c r="H64" s="9" t="s">
        <v>220</v>
      </c>
      <c r="I64" s="9" t="s">
        <v>191</v>
      </c>
      <c r="J64" s="9" t="s">
        <v>148</v>
      </c>
      <c r="K64" s="9" t="s">
        <v>149</v>
      </c>
      <c r="L64" s="10" t="n">
        <v>214.5</v>
      </c>
      <c r="M64" s="11" t="n">
        <v>2</v>
      </c>
      <c r="N64" s="11" t="n">
        <v>8</v>
      </c>
      <c r="O64" s="12" t="s">
        <v>129</v>
      </c>
      <c r="P64" s="12" t="s">
        <v>177</v>
      </c>
      <c r="Q64" s="12" t="s">
        <v>84</v>
      </c>
      <c r="R64" s="12" t="s">
        <v>173</v>
      </c>
      <c r="S64" s="1"/>
      <c r="T64" s="1"/>
    </row>
    <row r="65" customFormat="false" ht="15" hidden="false" customHeight="false" outlineLevel="0" collapsed="false">
      <c r="A65" s="1"/>
      <c r="B65" s="9" t="s">
        <v>221</v>
      </c>
      <c r="C65" s="9" t="s">
        <v>114</v>
      </c>
      <c r="D65" s="9" t="s">
        <v>124</v>
      </c>
      <c r="E65" s="9" t="s">
        <v>175</v>
      </c>
      <c r="F65" s="9" t="s">
        <v>171</v>
      </c>
      <c r="G65" s="9" t="s">
        <v>69</v>
      </c>
      <c r="H65" s="9" t="s">
        <v>220</v>
      </c>
      <c r="I65" s="9" t="s">
        <v>191</v>
      </c>
      <c r="J65" s="9" t="s">
        <v>180</v>
      </c>
      <c r="K65" s="9" t="s">
        <v>149</v>
      </c>
      <c r="L65" s="10" t="n">
        <v>214.5</v>
      </c>
      <c r="M65" s="11" t="n">
        <v>2</v>
      </c>
      <c r="N65" s="11" t="n">
        <v>8</v>
      </c>
      <c r="O65" s="12" t="s">
        <v>129</v>
      </c>
      <c r="P65" s="12" t="s">
        <v>177</v>
      </c>
      <c r="Q65" s="12" t="s">
        <v>84</v>
      </c>
      <c r="R65" s="12" t="s">
        <v>173</v>
      </c>
      <c r="S65" s="1"/>
      <c r="T65" s="1"/>
    </row>
    <row r="66" customFormat="false" ht="15" hidden="false" customHeight="false" outlineLevel="0" collapsed="false">
      <c r="A66" s="1"/>
      <c r="B66" s="9" t="s">
        <v>222</v>
      </c>
      <c r="C66" s="9" t="s">
        <v>114</v>
      </c>
      <c r="D66" s="9" t="s">
        <v>124</v>
      </c>
      <c r="E66" s="9" t="s">
        <v>175</v>
      </c>
      <c r="F66" s="9" t="s">
        <v>171</v>
      </c>
      <c r="G66" s="9" t="s">
        <v>69</v>
      </c>
      <c r="H66" s="9" t="s">
        <v>203</v>
      </c>
      <c r="I66" s="9" t="s">
        <v>147</v>
      </c>
      <c r="J66" s="9" t="s">
        <v>148</v>
      </c>
      <c r="K66" s="9" t="s">
        <v>149</v>
      </c>
      <c r="L66" s="10" t="n">
        <v>214.5</v>
      </c>
      <c r="M66" s="11" t="n">
        <v>2</v>
      </c>
      <c r="N66" s="11" t="n">
        <v>8</v>
      </c>
      <c r="O66" s="12" t="s">
        <v>129</v>
      </c>
      <c r="P66" s="12" t="s">
        <v>177</v>
      </c>
      <c r="Q66" s="12" t="s">
        <v>84</v>
      </c>
      <c r="R66" s="12" t="s">
        <v>173</v>
      </c>
      <c r="S66" s="1"/>
      <c r="T66" s="1"/>
    </row>
    <row r="67" customFormat="false" ht="15" hidden="false" customHeight="false" outlineLevel="0" collapsed="false">
      <c r="A67" s="1"/>
      <c r="B67" s="9" t="s">
        <v>223</v>
      </c>
      <c r="C67" s="9" t="s">
        <v>114</v>
      </c>
      <c r="D67" s="9" t="s">
        <v>124</v>
      </c>
      <c r="E67" s="9" t="s">
        <v>224</v>
      </c>
      <c r="F67" s="9" t="s">
        <v>117</v>
      </c>
      <c r="G67" s="9" t="s">
        <v>69</v>
      </c>
      <c r="H67" s="9"/>
      <c r="I67" s="9"/>
      <c r="J67" s="9"/>
      <c r="K67" s="9"/>
      <c r="L67" s="10" t="n">
        <v>0</v>
      </c>
      <c r="M67" s="11" t="n">
        <v>0</v>
      </c>
      <c r="N67" s="11" t="n">
        <v>0</v>
      </c>
      <c r="O67" s="12" t="s">
        <v>129</v>
      </c>
      <c r="P67" s="12" t="s">
        <v>177</v>
      </c>
      <c r="Q67" s="12" t="s">
        <v>75</v>
      </c>
      <c r="R67" s="12" t="s">
        <v>161</v>
      </c>
      <c r="S67" s="1"/>
      <c r="T67" s="1"/>
    </row>
    <row r="68" customFormat="false" ht="15" hidden="false" customHeight="false" outlineLevel="0" collapsed="false">
      <c r="A68" s="1"/>
      <c r="B68" s="9" t="s">
        <v>225</v>
      </c>
      <c r="C68" s="9" t="s">
        <v>114</v>
      </c>
      <c r="D68" s="9" t="s">
        <v>124</v>
      </c>
      <c r="E68" s="9" t="s">
        <v>224</v>
      </c>
      <c r="F68" s="9" t="s">
        <v>117</v>
      </c>
      <c r="G68" s="9" t="s">
        <v>69</v>
      </c>
      <c r="H68" s="9" t="s">
        <v>176</v>
      </c>
      <c r="I68" s="9" t="s">
        <v>153</v>
      </c>
      <c r="J68" s="9" t="s">
        <v>158</v>
      </c>
      <c r="K68" s="9" t="s">
        <v>166</v>
      </c>
      <c r="L68" s="10" t="n">
        <v>167</v>
      </c>
      <c r="M68" s="11" t="n">
        <v>4</v>
      </c>
      <c r="N68" s="11" t="n">
        <v>8</v>
      </c>
      <c r="O68" s="12" t="s">
        <v>129</v>
      </c>
      <c r="P68" s="12" t="s">
        <v>177</v>
      </c>
      <c r="Q68" s="12" t="s">
        <v>84</v>
      </c>
      <c r="R68" s="12" t="s">
        <v>85</v>
      </c>
      <c r="S68" s="1"/>
      <c r="T68" s="1"/>
    </row>
    <row r="69" customFormat="false" ht="15" hidden="false" customHeight="false" outlineLevel="0" collapsed="false">
      <c r="A69" s="1"/>
      <c r="B69" s="9" t="s">
        <v>226</v>
      </c>
      <c r="C69" s="9" t="s">
        <v>114</v>
      </c>
      <c r="D69" s="9" t="s">
        <v>124</v>
      </c>
      <c r="E69" s="9" t="s">
        <v>224</v>
      </c>
      <c r="F69" s="9" t="s">
        <v>117</v>
      </c>
      <c r="G69" s="9" t="s">
        <v>69</v>
      </c>
      <c r="H69" s="9" t="s">
        <v>190</v>
      </c>
      <c r="I69" s="9" t="s">
        <v>191</v>
      </c>
      <c r="J69" s="9" t="s">
        <v>180</v>
      </c>
      <c r="K69" s="9" t="s">
        <v>166</v>
      </c>
      <c r="L69" s="10" t="n">
        <v>167</v>
      </c>
      <c r="M69" s="11" t="n">
        <v>2</v>
      </c>
      <c r="N69" s="11" t="n">
        <v>8</v>
      </c>
      <c r="O69" s="12" t="s">
        <v>129</v>
      </c>
      <c r="P69" s="12" t="s">
        <v>177</v>
      </c>
      <c r="Q69" s="12" t="s">
        <v>84</v>
      </c>
      <c r="R69" s="12" t="s">
        <v>85</v>
      </c>
      <c r="S69" s="1"/>
      <c r="T69" s="1"/>
    </row>
    <row r="70" customFormat="false" ht="15" hidden="false" customHeight="false" outlineLevel="0" collapsed="false">
      <c r="A70" s="1"/>
      <c r="B70" s="9" t="s">
        <v>227</v>
      </c>
      <c r="C70" s="9" t="s">
        <v>114</v>
      </c>
      <c r="D70" s="9" t="s">
        <v>124</v>
      </c>
      <c r="E70" s="9" t="s">
        <v>224</v>
      </c>
      <c r="F70" s="9" t="s">
        <v>171</v>
      </c>
      <c r="G70" s="9" t="s">
        <v>69</v>
      </c>
      <c r="H70" s="9" t="s">
        <v>208</v>
      </c>
      <c r="I70" s="9" t="s">
        <v>140</v>
      </c>
      <c r="J70" s="9" t="s">
        <v>211</v>
      </c>
      <c r="K70" s="9" t="s">
        <v>166</v>
      </c>
      <c r="L70" s="10" t="n">
        <v>250.5</v>
      </c>
      <c r="M70" s="11" t="n">
        <v>4</v>
      </c>
      <c r="N70" s="11" t="n">
        <v>5</v>
      </c>
      <c r="O70" s="12" t="s">
        <v>129</v>
      </c>
      <c r="P70" s="12" t="s">
        <v>177</v>
      </c>
      <c r="Q70" s="12" t="s">
        <v>84</v>
      </c>
      <c r="R70" s="12" t="s">
        <v>173</v>
      </c>
      <c r="S70" s="1"/>
      <c r="T70" s="1"/>
    </row>
    <row r="71" customFormat="false" ht="15" hidden="false" customHeight="false" outlineLevel="0" collapsed="false">
      <c r="A71" s="1"/>
      <c r="B71" s="9" t="s">
        <v>228</v>
      </c>
      <c r="C71" s="9" t="s">
        <v>114</v>
      </c>
      <c r="D71" s="9" t="s">
        <v>124</v>
      </c>
      <c r="E71" s="9" t="s">
        <v>224</v>
      </c>
      <c r="F71" s="9" t="s">
        <v>171</v>
      </c>
      <c r="G71" s="9" t="s">
        <v>69</v>
      </c>
      <c r="H71" s="9" t="s">
        <v>198</v>
      </c>
      <c r="I71" s="9" t="s">
        <v>143</v>
      </c>
      <c r="J71" s="9" t="s">
        <v>229</v>
      </c>
      <c r="K71" s="9" t="s">
        <v>166</v>
      </c>
      <c r="L71" s="10" t="n">
        <v>250.5</v>
      </c>
      <c r="M71" s="11" t="n">
        <v>1</v>
      </c>
      <c r="N71" s="11" t="n">
        <v>8</v>
      </c>
      <c r="O71" s="12" t="s">
        <v>129</v>
      </c>
      <c r="P71" s="12" t="s">
        <v>177</v>
      </c>
      <c r="Q71" s="12" t="s">
        <v>84</v>
      </c>
      <c r="R71" s="12" t="s">
        <v>173</v>
      </c>
      <c r="S71" s="1"/>
      <c r="T71" s="1"/>
    </row>
    <row r="72" customFormat="false" ht="15" hidden="false" customHeight="false" outlineLevel="0" collapsed="false">
      <c r="A72" s="1"/>
      <c r="B72" s="9" t="s">
        <v>230</v>
      </c>
      <c r="C72" s="9" t="s">
        <v>114</v>
      </c>
      <c r="D72" s="9" t="s">
        <v>124</v>
      </c>
      <c r="E72" s="9" t="s">
        <v>224</v>
      </c>
      <c r="F72" s="9" t="s">
        <v>117</v>
      </c>
      <c r="G72" s="9" t="s">
        <v>69</v>
      </c>
      <c r="H72" s="9" t="s">
        <v>172</v>
      </c>
      <c r="I72" s="9" t="s">
        <v>153</v>
      </c>
      <c r="J72" s="9" t="s">
        <v>148</v>
      </c>
      <c r="K72" s="9" t="s">
        <v>166</v>
      </c>
      <c r="L72" s="10" t="n">
        <v>167</v>
      </c>
      <c r="M72" s="11" t="n">
        <v>5</v>
      </c>
      <c r="N72" s="11" t="n">
        <v>8</v>
      </c>
      <c r="O72" s="12" t="s">
        <v>129</v>
      </c>
      <c r="P72" s="12" t="s">
        <v>177</v>
      </c>
      <c r="Q72" s="12" t="s">
        <v>84</v>
      </c>
      <c r="R72" s="12" t="s">
        <v>85</v>
      </c>
      <c r="S72" s="1"/>
      <c r="T72" s="1"/>
    </row>
    <row r="73" customFormat="false" ht="15" hidden="false" customHeight="false" outlineLevel="0" collapsed="false">
      <c r="A73" s="1"/>
      <c r="B73" s="9" t="s">
        <v>231</v>
      </c>
      <c r="C73" s="9" t="s">
        <v>114</v>
      </c>
      <c r="D73" s="9" t="s">
        <v>124</v>
      </c>
      <c r="E73" s="9" t="s">
        <v>224</v>
      </c>
      <c r="F73" s="9" t="s">
        <v>117</v>
      </c>
      <c r="G73" s="9" t="s">
        <v>69</v>
      </c>
      <c r="H73" s="9" t="s">
        <v>198</v>
      </c>
      <c r="I73" s="9" t="s">
        <v>153</v>
      </c>
      <c r="J73" s="9" t="s">
        <v>119</v>
      </c>
      <c r="K73" s="9" t="s">
        <v>166</v>
      </c>
      <c r="L73" s="10" t="n">
        <v>167</v>
      </c>
      <c r="M73" s="11" t="n">
        <v>7</v>
      </c>
      <c r="N73" s="11" t="n">
        <v>8</v>
      </c>
      <c r="O73" s="12" t="s">
        <v>129</v>
      </c>
      <c r="P73" s="12" t="s">
        <v>177</v>
      </c>
      <c r="Q73" s="12" t="s">
        <v>84</v>
      </c>
      <c r="R73" s="12" t="s">
        <v>85</v>
      </c>
      <c r="S73" s="1"/>
      <c r="T73" s="1"/>
    </row>
    <row r="74" customFormat="false" ht="15" hidden="false" customHeight="false" outlineLevel="0" collapsed="false">
      <c r="A74" s="1"/>
      <c r="B74" s="9" t="s">
        <v>232</v>
      </c>
      <c r="C74" s="9" t="s">
        <v>114</v>
      </c>
      <c r="D74" s="9" t="s">
        <v>124</v>
      </c>
      <c r="E74" s="9" t="s">
        <v>224</v>
      </c>
      <c r="F74" s="9" t="s">
        <v>117</v>
      </c>
      <c r="G74" s="9" t="s">
        <v>69</v>
      </c>
      <c r="H74" s="9" t="s">
        <v>233</v>
      </c>
      <c r="I74" s="9" t="s">
        <v>147</v>
      </c>
      <c r="J74" s="9" t="s">
        <v>148</v>
      </c>
      <c r="K74" s="9" t="s">
        <v>166</v>
      </c>
      <c r="L74" s="10" t="n">
        <v>167</v>
      </c>
      <c r="M74" s="11" t="n">
        <v>8</v>
      </c>
      <c r="N74" s="11" t="n">
        <v>8</v>
      </c>
      <c r="O74" s="12" t="s">
        <v>129</v>
      </c>
      <c r="P74" s="12" t="s">
        <v>177</v>
      </c>
      <c r="Q74" s="12" t="s">
        <v>84</v>
      </c>
      <c r="R74" s="12" t="s">
        <v>85</v>
      </c>
      <c r="S74" s="1"/>
      <c r="T74" s="1"/>
    </row>
    <row r="75" customFormat="false" ht="15" hidden="false" customHeight="false" outlineLevel="0" collapsed="false">
      <c r="A75" s="1"/>
      <c r="B75" s="9" t="s">
        <v>234</v>
      </c>
      <c r="C75" s="9" t="s">
        <v>114</v>
      </c>
      <c r="D75" s="9" t="s">
        <v>124</v>
      </c>
      <c r="E75" s="9" t="s">
        <v>224</v>
      </c>
      <c r="F75" s="9" t="s">
        <v>117</v>
      </c>
      <c r="G75" s="9" t="s">
        <v>69</v>
      </c>
      <c r="H75" s="9" t="s">
        <v>235</v>
      </c>
      <c r="I75" s="9" t="s">
        <v>147</v>
      </c>
      <c r="J75" s="9" t="s">
        <v>148</v>
      </c>
      <c r="K75" s="9" t="s">
        <v>166</v>
      </c>
      <c r="L75" s="10" t="n">
        <v>167</v>
      </c>
      <c r="M75" s="11" t="n">
        <v>8</v>
      </c>
      <c r="N75" s="11" t="n">
        <v>8</v>
      </c>
      <c r="O75" s="12" t="s">
        <v>129</v>
      </c>
      <c r="P75" s="12" t="s">
        <v>177</v>
      </c>
      <c r="Q75" s="12" t="s">
        <v>84</v>
      </c>
      <c r="R75" s="12" t="s">
        <v>85</v>
      </c>
      <c r="S75" s="1"/>
      <c r="T75" s="1"/>
    </row>
    <row r="76" customFormat="false" ht="15" hidden="false" customHeight="false" outlineLevel="0" collapsed="false">
      <c r="A76" s="1"/>
      <c r="B76" s="9" t="s">
        <v>236</v>
      </c>
      <c r="C76" s="9" t="s">
        <v>114</v>
      </c>
      <c r="D76" s="9" t="s">
        <v>124</v>
      </c>
      <c r="E76" s="9" t="s">
        <v>224</v>
      </c>
      <c r="F76" s="9" t="s">
        <v>117</v>
      </c>
      <c r="G76" s="9" t="s">
        <v>69</v>
      </c>
      <c r="H76" s="9" t="s">
        <v>237</v>
      </c>
      <c r="I76" s="9" t="s">
        <v>147</v>
      </c>
      <c r="J76" s="9" t="s">
        <v>180</v>
      </c>
      <c r="K76" s="9" t="s">
        <v>166</v>
      </c>
      <c r="L76" s="10" t="n">
        <v>167</v>
      </c>
      <c r="M76" s="11" t="n">
        <v>6</v>
      </c>
      <c r="N76" s="11" t="n">
        <v>8</v>
      </c>
      <c r="O76" s="12" t="s">
        <v>129</v>
      </c>
      <c r="P76" s="12" t="s">
        <v>177</v>
      </c>
      <c r="Q76" s="12" t="s">
        <v>84</v>
      </c>
      <c r="R76" s="12" t="s">
        <v>85</v>
      </c>
      <c r="S76" s="1"/>
      <c r="T76" s="1"/>
    </row>
    <row r="77" customFormat="false" ht="15" hidden="false" customHeight="false" outlineLevel="0" collapsed="false">
      <c r="A77" s="1"/>
      <c r="B77" s="9" t="s">
        <v>238</v>
      </c>
      <c r="C77" s="9" t="s">
        <v>114</v>
      </c>
      <c r="D77" s="9" t="s">
        <v>124</v>
      </c>
      <c r="E77" s="9" t="s">
        <v>224</v>
      </c>
      <c r="F77" s="9" t="s">
        <v>117</v>
      </c>
      <c r="G77" s="9" t="s">
        <v>69</v>
      </c>
      <c r="H77" s="9" t="s">
        <v>239</v>
      </c>
      <c r="I77" s="9" t="s">
        <v>147</v>
      </c>
      <c r="J77" s="9" t="s">
        <v>180</v>
      </c>
      <c r="K77" s="9" t="s">
        <v>166</v>
      </c>
      <c r="L77" s="10" t="n">
        <v>167</v>
      </c>
      <c r="M77" s="11" t="n">
        <v>5</v>
      </c>
      <c r="N77" s="11" t="n">
        <v>8</v>
      </c>
      <c r="O77" s="12" t="s">
        <v>129</v>
      </c>
      <c r="P77" s="12" t="s">
        <v>177</v>
      </c>
      <c r="Q77" s="12" t="s">
        <v>84</v>
      </c>
      <c r="R77" s="12" t="s">
        <v>85</v>
      </c>
      <c r="S77" s="1"/>
      <c r="T77" s="1"/>
    </row>
    <row r="78" customFormat="false" ht="15" hidden="false" customHeight="false" outlineLevel="0" collapsed="false">
      <c r="A78" s="1"/>
      <c r="B78" s="9" t="s">
        <v>240</v>
      </c>
      <c r="C78" s="9" t="s">
        <v>114</v>
      </c>
      <c r="D78" s="9" t="s">
        <v>124</v>
      </c>
      <c r="E78" s="9" t="s">
        <v>224</v>
      </c>
      <c r="F78" s="9" t="s">
        <v>117</v>
      </c>
      <c r="G78" s="9" t="s">
        <v>69</v>
      </c>
      <c r="H78" s="9" t="s">
        <v>198</v>
      </c>
      <c r="I78" s="9" t="s">
        <v>147</v>
      </c>
      <c r="J78" s="9" t="s">
        <v>229</v>
      </c>
      <c r="K78" s="9" t="s">
        <v>166</v>
      </c>
      <c r="L78" s="10" t="n">
        <v>167</v>
      </c>
      <c r="M78" s="11" t="n">
        <v>7</v>
      </c>
      <c r="N78" s="11" t="n">
        <v>8</v>
      </c>
      <c r="O78" s="12" t="s">
        <v>129</v>
      </c>
      <c r="P78" s="12" t="s">
        <v>177</v>
      </c>
      <c r="Q78" s="12" t="s">
        <v>84</v>
      </c>
      <c r="R78" s="12" t="s">
        <v>85</v>
      </c>
      <c r="S78" s="1"/>
      <c r="T78" s="1"/>
    </row>
    <row r="79" customFormat="false" ht="15" hidden="false" customHeight="false" outlineLevel="0" collapsed="false">
      <c r="A79" s="1"/>
      <c r="B79" s="9" t="s">
        <v>241</v>
      </c>
      <c r="C79" s="9" t="s">
        <v>114</v>
      </c>
      <c r="D79" s="9" t="s">
        <v>124</v>
      </c>
      <c r="E79" s="9" t="s">
        <v>224</v>
      </c>
      <c r="F79" s="9" t="s">
        <v>117</v>
      </c>
      <c r="G79" s="9" t="s">
        <v>69</v>
      </c>
      <c r="H79" s="9" t="s">
        <v>190</v>
      </c>
      <c r="I79" s="9" t="s">
        <v>183</v>
      </c>
      <c r="J79" s="9" t="s">
        <v>206</v>
      </c>
      <c r="K79" s="9" t="s">
        <v>166</v>
      </c>
      <c r="L79" s="10" t="n">
        <v>167</v>
      </c>
      <c r="M79" s="11" t="n">
        <v>8</v>
      </c>
      <c r="N79" s="11" t="n">
        <v>8</v>
      </c>
      <c r="O79" s="12" t="s">
        <v>129</v>
      </c>
      <c r="P79" s="12" t="s">
        <v>177</v>
      </c>
      <c r="Q79" s="12" t="s">
        <v>84</v>
      </c>
      <c r="R79" s="12" t="s">
        <v>85</v>
      </c>
      <c r="S79" s="1"/>
      <c r="T79" s="1"/>
    </row>
    <row r="80" customFormat="false" ht="15" hidden="false" customHeight="false" outlineLevel="0" collapsed="false">
      <c r="A80" s="1"/>
      <c r="B80" s="9" t="s">
        <v>242</v>
      </c>
      <c r="C80" s="9" t="s">
        <v>114</v>
      </c>
      <c r="D80" s="9" t="s">
        <v>124</v>
      </c>
      <c r="E80" s="9" t="s">
        <v>224</v>
      </c>
      <c r="F80" s="9" t="s">
        <v>117</v>
      </c>
      <c r="G80" s="9" t="s">
        <v>69</v>
      </c>
      <c r="H80" s="9" t="s">
        <v>243</v>
      </c>
      <c r="I80" s="9" t="s">
        <v>168</v>
      </c>
      <c r="J80" s="9" t="s">
        <v>206</v>
      </c>
      <c r="K80" s="9" t="s">
        <v>166</v>
      </c>
      <c r="L80" s="10" t="n">
        <v>167</v>
      </c>
      <c r="M80" s="11" t="n">
        <v>7</v>
      </c>
      <c r="N80" s="11" t="n">
        <v>8</v>
      </c>
      <c r="O80" s="12" t="s">
        <v>129</v>
      </c>
      <c r="P80" s="12" t="s">
        <v>177</v>
      </c>
      <c r="Q80" s="12" t="s">
        <v>84</v>
      </c>
      <c r="R80" s="12" t="s">
        <v>85</v>
      </c>
      <c r="S80" s="1"/>
      <c r="T80" s="1"/>
    </row>
    <row r="81" customFormat="false" ht="15" hidden="false" customHeight="false" outlineLevel="0" collapsed="false">
      <c r="A81" s="1"/>
      <c r="B81" s="9" t="s">
        <v>244</v>
      </c>
      <c r="C81" s="9" t="s">
        <v>114</v>
      </c>
      <c r="D81" s="9" t="s">
        <v>124</v>
      </c>
      <c r="E81" s="9" t="s">
        <v>224</v>
      </c>
      <c r="F81" s="9" t="s">
        <v>117</v>
      </c>
      <c r="G81" s="9" t="s">
        <v>69</v>
      </c>
      <c r="H81" s="9" t="s">
        <v>245</v>
      </c>
      <c r="I81" s="9" t="s">
        <v>140</v>
      </c>
      <c r="J81" s="9" t="s">
        <v>148</v>
      </c>
      <c r="K81" s="9" t="s">
        <v>166</v>
      </c>
      <c r="L81" s="10" t="n">
        <v>167</v>
      </c>
      <c r="M81" s="11" t="n">
        <v>7</v>
      </c>
      <c r="N81" s="11" t="n">
        <v>8</v>
      </c>
      <c r="O81" s="12" t="s">
        <v>129</v>
      </c>
      <c r="P81" s="12" t="s">
        <v>177</v>
      </c>
      <c r="Q81" s="12" t="s">
        <v>84</v>
      </c>
      <c r="R81" s="12" t="s">
        <v>85</v>
      </c>
      <c r="S81" s="1"/>
      <c r="T81" s="1"/>
    </row>
    <row r="82" customFormat="false" ht="15" hidden="false" customHeight="false" outlineLevel="0" collapsed="false">
      <c r="A82" s="1"/>
      <c r="B82" s="9" t="s">
        <v>246</v>
      </c>
      <c r="C82" s="9" t="s">
        <v>114</v>
      </c>
      <c r="D82" s="9" t="s">
        <v>124</v>
      </c>
      <c r="E82" s="9" t="s">
        <v>224</v>
      </c>
      <c r="F82" s="9" t="s">
        <v>117</v>
      </c>
      <c r="G82" s="9" t="s">
        <v>69</v>
      </c>
      <c r="H82" s="9" t="s">
        <v>247</v>
      </c>
      <c r="I82" s="9" t="s">
        <v>140</v>
      </c>
      <c r="J82" s="9" t="s">
        <v>148</v>
      </c>
      <c r="K82" s="9" t="s">
        <v>166</v>
      </c>
      <c r="L82" s="10" t="n">
        <v>167</v>
      </c>
      <c r="M82" s="11" t="n">
        <v>8</v>
      </c>
      <c r="N82" s="11" t="n">
        <v>8</v>
      </c>
      <c r="O82" s="12" t="s">
        <v>129</v>
      </c>
      <c r="P82" s="12" t="s">
        <v>177</v>
      </c>
      <c r="Q82" s="12" t="s">
        <v>84</v>
      </c>
      <c r="R82" s="12" t="s">
        <v>85</v>
      </c>
      <c r="S82" s="1"/>
      <c r="T82" s="1"/>
    </row>
    <row r="83" customFormat="false" ht="15" hidden="false" customHeight="false" outlineLevel="0" collapsed="false">
      <c r="A83" s="1"/>
      <c r="B83" s="9" t="s">
        <v>248</v>
      </c>
      <c r="C83" s="9" t="s">
        <v>114</v>
      </c>
      <c r="D83" s="9" t="s">
        <v>124</v>
      </c>
      <c r="E83" s="9" t="s">
        <v>224</v>
      </c>
      <c r="F83" s="9" t="s">
        <v>117</v>
      </c>
      <c r="G83" s="9" t="s">
        <v>69</v>
      </c>
      <c r="H83" s="9" t="s">
        <v>208</v>
      </c>
      <c r="I83" s="9" t="s">
        <v>140</v>
      </c>
      <c r="J83" s="9" t="s">
        <v>211</v>
      </c>
      <c r="K83" s="9" t="s">
        <v>166</v>
      </c>
      <c r="L83" s="10" t="n">
        <v>167</v>
      </c>
      <c r="M83" s="11" t="n">
        <v>5</v>
      </c>
      <c r="N83" s="11" t="n">
        <v>5</v>
      </c>
      <c r="O83" s="12" t="s">
        <v>129</v>
      </c>
      <c r="P83" s="12" t="s">
        <v>177</v>
      </c>
      <c r="Q83" s="12" t="s">
        <v>84</v>
      </c>
      <c r="R83" s="12" t="s">
        <v>85</v>
      </c>
      <c r="S83" s="1"/>
      <c r="T83" s="1"/>
    </row>
    <row r="84" customFormat="false" ht="15" hidden="false" customHeight="false" outlineLevel="0" collapsed="false">
      <c r="A84" s="1"/>
      <c r="B84" s="9" t="s">
        <v>249</v>
      </c>
      <c r="C84" s="9" t="s">
        <v>114</v>
      </c>
      <c r="D84" s="9" t="s">
        <v>124</v>
      </c>
      <c r="E84" s="9" t="s">
        <v>224</v>
      </c>
      <c r="F84" s="9" t="s">
        <v>117</v>
      </c>
      <c r="G84" s="9" t="s">
        <v>69</v>
      </c>
      <c r="H84" s="9" t="s">
        <v>208</v>
      </c>
      <c r="I84" s="9" t="s">
        <v>140</v>
      </c>
      <c r="J84" s="9" t="s">
        <v>229</v>
      </c>
      <c r="K84" s="9" t="s">
        <v>166</v>
      </c>
      <c r="L84" s="10" t="n">
        <v>167</v>
      </c>
      <c r="M84" s="11" t="n">
        <v>3</v>
      </c>
      <c r="N84" s="11" t="n">
        <v>8</v>
      </c>
      <c r="O84" s="12" t="s">
        <v>129</v>
      </c>
      <c r="P84" s="12" t="s">
        <v>177</v>
      </c>
      <c r="Q84" s="12" t="s">
        <v>84</v>
      </c>
      <c r="R84" s="12" t="s">
        <v>85</v>
      </c>
      <c r="S84" s="1"/>
      <c r="T84" s="1"/>
    </row>
    <row r="85" customFormat="false" ht="15" hidden="false" customHeight="false" outlineLevel="0" collapsed="false">
      <c r="A85" s="1"/>
      <c r="B85" s="9" t="s">
        <v>250</v>
      </c>
      <c r="C85" s="9" t="s">
        <v>114</v>
      </c>
      <c r="D85" s="9" t="s">
        <v>124</v>
      </c>
      <c r="E85" s="9" t="s">
        <v>224</v>
      </c>
      <c r="F85" s="9" t="s">
        <v>117</v>
      </c>
      <c r="G85" s="9" t="s">
        <v>69</v>
      </c>
      <c r="H85" s="9" t="s">
        <v>243</v>
      </c>
      <c r="I85" s="9" t="s">
        <v>191</v>
      </c>
      <c r="J85" s="9" t="s">
        <v>180</v>
      </c>
      <c r="K85" s="9" t="s">
        <v>166</v>
      </c>
      <c r="L85" s="10" t="n">
        <v>167</v>
      </c>
      <c r="M85" s="11" t="n">
        <v>6</v>
      </c>
      <c r="N85" s="11" t="n">
        <v>8</v>
      </c>
      <c r="O85" s="12" t="s">
        <v>129</v>
      </c>
      <c r="P85" s="12" t="s">
        <v>177</v>
      </c>
      <c r="Q85" s="12" t="s">
        <v>84</v>
      </c>
      <c r="R85" s="12" t="s">
        <v>85</v>
      </c>
      <c r="S85" s="1"/>
      <c r="T85" s="1"/>
    </row>
    <row r="86" customFormat="false" ht="15" hidden="false" customHeight="false" outlineLevel="0" collapsed="false">
      <c r="A86" s="1"/>
      <c r="B86" s="9" t="s">
        <v>251</v>
      </c>
      <c r="C86" s="9" t="s">
        <v>114</v>
      </c>
      <c r="D86" s="9" t="s">
        <v>124</v>
      </c>
      <c r="E86" s="9" t="s">
        <v>224</v>
      </c>
      <c r="F86" s="9" t="s">
        <v>117</v>
      </c>
      <c r="G86" s="9" t="s">
        <v>69</v>
      </c>
      <c r="H86" s="9" t="s">
        <v>220</v>
      </c>
      <c r="I86" s="9" t="s">
        <v>191</v>
      </c>
      <c r="J86" s="9" t="s">
        <v>229</v>
      </c>
      <c r="K86" s="9" t="s">
        <v>166</v>
      </c>
      <c r="L86" s="10" t="n">
        <v>167</v>
      </c>
      <c r="M86" s="11" t="n">
        <v>5</v>
      </c>
      <c r="N86" s="11" t="n">
        <v>8</v>
      </c>
      <c r="O86" s="12" t="s">
        <v>129</v>
      </c>
      <c r="P86" s="12" t="s">
        <v>177</v>
      </c>
      <c r="Q86" s="12" t="s">
        <v>84</v>
      </c>
      <c r="R86" s="12" t="s">
        <v>85</v>
      </c>
      <c r="S86" s="1"/>
      <c r="T86" s="1"/>
    </row>
    <row r="87" customFormat="false" ht="15" hidden="false" customHeight="false" outlineLevel="0" collapsed="false">
      <c r="A87" s="1"/>
      <c r="B87" s="9" t="s">
        <v>252</v>
      </c>
      <c r="C87" s="9" t="s">
        <v>114</v>
      </c>
      <c r="D87" s="9" t="s">
        <v>124</v>
      </c>
      <c r="E87" s="9" t="s">
        <v>224</v>
      </c>
      <c r="F87" s="9" t="s">
        <v>117</v>
      </c>
      <c r="G87" s="9" t="s">
        <v>69</v>
      </c>
      <c r="H87" s="9" t="s">
        <v>253</v>
      </c>
      <c r="I87" s="9" t="s">
        <v>143</v>
      </c>
      <c r="J87" s="9" t="s">
        <v>148</v>
      </c>
      <c r="K87" s="9" t="s">
        <v>166</v>
      </c>
      <c r="L87" s="10" t="n">
        <v>167</v>
      </c>
      <c r="M87" s="11" t="n">
        <v>0</v>
      </c>
      <c r="N87" s="11" t="n">
        <v>0</v>
      </c>
      <c r="O87" s="12" t="s">
        <v>129</v>
      </c>
      <c r="P87" s="12" t="s">
        <v>177</v>
      </c>
      <c r="Q87" s="12" t="s">
        <v>84</v>
      </c>
      <c r="R87" s="12" t="s">
        <v>85</v>
      </c>
      <c r="S87" s="1"/>
      <c r="T87" s="1"/>
    </row>
    <row r="88" customFormat="false" ht="15" hidden="false" customHeight="false" outlineLevel="0" collapsed="false">
      <c r="A88" s="1"/>
      <c r="B88" s="9" t="s">
        <v>252</v>
      </c>
      <c r="C88" s="9" t="s">
        <v>114</v>
      </c>
      <c r="D88" s="9" t="s">
        <v>124</v>
      </c>
      <c r="E88" s="9" t="s">
        <v>224</v>
      </c>
      <c r="F88" s="9" t="s">
        <v>117</v>
      </c>
      <c r="G88" s="9" t="s">
        <v>69</v>
      </c>
      <c r="H88" s="9" t="s">
        <v>254</v>
      </c>
      <c r="I88" s="9" t="s">
        <v>143</v>
      </c>
      <c r="J88" s="9" t="s">
        <v>148</v>
      </c>
      <c r="K88" s="9" t="s">
        <v>166</v>
      </c>
      <c r="L88" s="10" t="n">
        <v>167</v>
      </c>
      <c r="M88" s="11" t="n">
        <v>5</v>
      </c>
      <c r="N88" s="11" t="n">
        <v>8</v>
      </c>
      <c r="O88" s="12" t="s">
        <v>129</v>
      </c>
      <c r="P88" s="12" t="s">
        <v>177</v>
      </c>
      <c r="Q88" s="12" t="s">
        <v>84</v>
      </c>
      <c r="R88" s="12" t="s">
        <v>85</v>
      </c>
      <c r="S88" s="1"/>
      <c r="T88" s="1"/>
    </row>
    <row r="89" customFormat="false" ht="15" hidden="false" customHeight="false" outlineLevel="0" collapsed="false">
      <c r="A89" s="1"/>
      <c r="B89" s="9" t="s">
        <v>255</v>
      </c>
      <c r="C89" s="9" t="s">
        <v>114</v>
      </c>
      <c r="D89" s="9" t="s">
        <v>124</v>
      </c>
      <c r="E89" s="9" t="s">
        <v>224</v>
      </c>
      <c r="F89" s="9" t="s">
        <v>117</v>
      </c>
      <c r="G89" s="9" t="s">
        <v>69</v>
      </c>
      <c r="H89" s="9" t="s">
        <v>254</v>
      </c>
      <c r="I89" s="9" t="s">
        <v>143</v>
      </c>
      <c r="J89" s="9" t="s">
        <v>180</v>
      </c>
      <c r="K89" s="9" t="s">
        <v>166</v>
      </c>
      <c r="L89" s="10" t="n">
        <v>167</v>
      </c>
      <c r="M89" s="11" t="n">
        <v>5</v>
      </c>
      <c r="N89" s="11" t="n">
        <v>8</v>
      </c>
      <c r="O89" s="12" t="s">
        <v>129</v>
      </c>
      <c r="P89" s="12" t="s">
        <v>177</v>
      </c>
      <c r="Q89" s="12" t="s">
        <v>84</v>
      </c>
      <c r="R89" s="12" t="s">
        <v>85</v>
      </c>
      <c r="S89" s="1"/>
      <c r="T89" s="1"/>
    </row>
    <row r="90" customFormat="false" ht="15" hidden="false" customHeight="false" outlineLevel="0" collapsed="false">
      <c r="A90" s="1"/>
      <c r="B90" s="9" t="s">
        <v>256</v>
      </c>
      <c r="C90" s="9" t="s">
        <v>114</v>
      </c>
      <c r="D90" s="9" t="s">
        <v>124</v>
      </c>
      <c r="E90" s="9" t="s">
        <v>224</v>
      </c>
      <c r="F90" s="9" t="s">
        <v>117</v>
      </c>
      <c r="G90" s="9" t="s">
        <v>69</v>
      </c>
      <c r="H90" s="9" t="s">
        <v>257</v>
      </c>
      <c r="I90" s="9" t="s">
        <v>143</v>
      </c>
      <c r="J90" s="9" t="s">
        <v>180</v>
      </c>
      <c r="K90" s="9" t="s">
        <v>166</v>
      </c>
      <c r="L90" s="10" t="n">
        <v>167</v>
      </c>
      <c r="M90" s="11" t="n">
        <v>4</v>
      </c>
      <c r="N90" s="11" t="n">
        <v>8</v>
      </c>
      <c r="O90" s="12" t="s">
        <v>129</v>
      </c>
      <c r="P90" s="12" t="s">
        <v>177</v>
      </c>
      <c r="Q90" s="12" t="s">
        <v>84</v>
      </c>
      <c r="R90" s="12" t="s">
        <v>85</v>
      </c>
      <c r="S90" s="1"/>
      <c r="T90" s="1"/>
    </row>
    <row r="91" customFormat="false" ht="15" hidden="false" customHeight="false" outlineLevel="0" collapsed="false">
      <c r="A91" s="1"/>
      <c r="B91" s="9" t="s">
        <v>258</v>
      </c>
      <c r="C91" s="9" t="s">
        <v>114</v>
      </c>
      <c r="D91" s="9" t="s">
        <v>124</v>
      </c>
      <c r="E91" s="9" t="s">
        <v>224</v>
      </c>
      <c r="F91" s="9" t="s">
        <v>117</v>
      </c>
      <c r="G91" s="9" t="s">
        <v>69</v>
      </c>
      <c r="H91" s="9" t="s">
        <v>215</v>
      </c>
      <c r="I91" s="9" t="s">
        <v>143</v>
      </c>
      <c r="J91" s="9" t="s">
        <v>229</v>
      </c>
      <c r="K91" s="9" t="s">
        <v>166</v>
      </c>
      <c r="L91" s="10" t="n">
        <v>167</v>
      </c>
      <c r="M91" s="11" t="n">
        <v>1</v>
      </c>
      <c r="N91" s="11" t="n">
        <v>8</v>
      </c>
      <c r="O91" s="12" t="s">
        <v>129</v>
      </c>
      <c r="P91" s="12" t="s">
        <v>177</v>
      </c>
      <c r="Q91" s="12" t="s">
        <v>84</v>
      </c>
      <c r="R91" s="12" t="s">
        <v>85</v>
      </c>
      <c r="S91" s="1"/>
      <c r="T91" s="1"/>
    </row>
    <row r="92" customFormat="false" ht="15" hidden="false" customHeight="false" outlineLevel="0" collapsed="false">
      <c r="A92" s="1"/>
      <c r="B92" s="9" t="s">
        <v>259</v>
      </c>
      <c r="C92" s="9" t="s">
        <v>114</v>
      </c>
      <c r="D92" s="9" t="s">
        <v>124</v>
      </c>
      <c r="E92" s="9" t="s">
        <v>224</v>
      </c>
      <c r="F92" s="9" t="s">
        <v>117</v>
      </c>
      <c r="G92" s="9" t="s">
        <v>69</v>
      </c>
      <c r="H92" s="9"/>
      <c r="I92" s="9"/>
      <c r="J92" s="9"/>
      <c r="K92" s="9" t="s">
        <v>166</v>
      </c>
      <c r="L92" s="10" t="n">
        <v>0</v>
      </c>
      <c r="M92" s="11" t="n">
        <v>0</v>
      </c>
      <c r="N92" s="11" t="n">
        <v>0</v>
      </c>
      <c r="O92" s="12" t="s">
        <v>129</v>
      </c>
      <c r="P92" s="12" t="s">
        <v>177</v>
      </c>
      <c r="Q92" s="12" t="s">
        <v>75</v>
      </c>
      <c r="R92" s="12" t="s">
        <v>161</v>
      </c>
      <c r="S92" s="1"/>
      <c r="T92" s="1"/>
    </row>
    <row r="93" customFormat="false" ht="15" hidden="false" customHeight="false" outlineLevel="0" collapsed="false">
      <c r="A93" s="1"/>
      <c r="B93" s="9" t="s">
        <v>260</v>
      </c>
      <c r="C93" s="9" t="s">
        <v>114</v>
      </c>
      <c r="D93" s="9" t="s">
        <v>124</v>
      </c>
      <c r="E93" s="9" t="s">
        <v>261</v>
      </c>
      <c r="F93" s="9" t="s">
        <v>117</v>
      </c>
      <c r="G93" s="9" t="s">
        <v>69</v>
      </c>
      <c r="H93" s="9" t="s">
        <v>262</v>
      </c>
      <c r="I93" s="9" t="s">
        <v>153</v>
      </c>
      <c r="J93" s="9" t="s">
        <v>119</v>
      </c>
      <c r="K93" s="9" t="s">
        <v>263</v>
      </c>
      <c r="L93" s="10" t="n">
        <v>184</v>
      </c>
      <c r="M93" s="11" t="n">
        <v>7</v>
      </c>
      <c r="N93" s="11" t="n">
        <v>8</v>
      </c>
      <c r="O93" s="12" t="s">
        <v>129</v>
      </c>
      <c r="P93" s="12" t="s">
        <v>177</v>
      </c>
      <c r="Q93" s="12" t="s">
        <v>84</v>
      </c>
      <c r="R93" s="12" t="s">
        <v>85</v>
      </c>
      <c r="S93" s="1"/>
      <c r="T93" s="1"/>
    </row>
    <row r="94" customFormat="false" ht="15" hidden="false" customHeight="false" outlineLevel="0" collapsed="false">
      <c r="A94" s="1"/>
      <c r="B94" s="9" t="s">
        <v>264</v>
      </c>
      <c r="C94" s="9" t="s">
        <v>114</v>
      </c>
      <c r="D94" s="9" t="s">
        <v>124</v>
      </c>
      <c r="E94" s="9" t="s">
        <v>261</v>
      </c>
      <c r="F94" s="9" t="s">
        <v>117</v>
      </c>
      <c r="G94" s="9" t="s">
        <v>69</v>
      </c>
      <c r="H94" s="9" t="s">
        <v>265</v>
      </c>
      <c r="I94" s="9" t="s">
        <v>153</v>
      </c>
      <c r="J94" s="9" t="s">
        <v>119</v>
      </c>
      <c r="K94" s="9" t="s">
        <v>263</v>
      </c>
      <c r="L94" s="10" t="n">
        <v>184</v>
      </c>
      <c r="M94" s="11" t="n">
        <v>8</v>
      </c>
      <c r="N94" s="11" t="n">
        <v>8</v>
      </c>
      <c r="O94" s="12" t="s">
        <v>129</v>
      </c>
      <c r="P94" s="12" t="s">
        <v>177</v>
      </c>
      <c r="Q94" s="12" t="s">
        <v>84</v>
      </c>
      <c r="R94" s="12" t="s">
        <v>85</v>
      </c>
      <c r="S94" s="1"/>
      <c r="T94" s="1"/>
    </row>
    <row r="95" customFormat="false" ht="15" hidden="false" customHeight="false" outlineLevel="0" collapsed="false">
      <c r="A95" s="1"/>
      <c r="B95" s="9" t="s">
        <v>266</v>
      </c>
      <c r="C95" s="9" t="s">
        <v>114</v>
      </c>
      <c r="D95" s="9" t="s">
        <v>124</v>
      </c>
      <c r="E95" s="9" t="s">
        <v>261</v>
      </c>
      <c r="F95" s="9" t="s">
        <v>117</v>
      </c>
      <c r="G95" s="9" t="s">
        <v>69</v>
      </c>
      <c r="H95" s="9" t="s">
        <v>267</v>
      </c>
      <c r="I95" s="9" t="s">
        <v>147</v>
      </c>
      <c r="J95" s="9" t="s">
        <v>95</v>
      </c>
      <c r="K95" s="9" t="s">
        <v>263</v>
      </c>
      <c r="L95" s="10" t="n">
        <v>184</v>
      </c>
      <c r="M95" s="11" t="n">
        <v>5</v>
      </c>
      <c r="N95" s="11" t="n">
        <v>8</v>
      </c>
      <c r="O95" s="12" t="s">
        <v>129</v>
      </c>
      <c r="P95" s="12" t="s">
        <v>177</v>
      </c>
      <c r="Q95" s="12" t="s">
        <v>84</v>
      </c>
      <c r="R95" s="12" t="s">
        <v>85</v>
      </c>
      <c r="S95" s="1"/>
      <c r="T95" s="1"/>
    </row>
    <row r="96" customFormat="false" ht="15" hidden="false" customHeight="false" outlineLevel="0" collapsed="false">
      <c r="A96" s="1"/>
      <c r="B96" s="9" t="s">
        <v>268</v>
      </c>
      <c r="C96" s="9" t="s">
        <v>114</v>
      </c>
      <c r="D96" s="9" t="s">
        <v>124</v>
      </c>
      <c r="E96" s="9" t="s">
        <v>261</v>
      </c>
      <c r="F96" s="9" t="s">
        <v>117</v>
      </c>
      <c r="G96" s="9" t="s">
        <v>69</v>
      </c>
      <c r="H96" s="9" t="s">
        <v>176</v>
      </c>
      <c r="I96" s="9" t="s">
        <v>147</v>
      </c>
      <c r="J96" s="9" t="s">
        <v>180</v>
      </c>
      <c r="K96" s="9" t="s">
        <v>263</v>
      </c>
      <c r="L96" s="10" t="n">
        <v>184</v>
      </c>
      <c r="M96" s="11" t="n">
        <v>7</v>
      </c>
      <c r="N96" s="11" t="n">
        <v>8</v>
      </c>
      <c r="O96" s="12" t="s">
        <v>129</v>
      </c>
      <c r="P96" s="12" t="s">
        <v>177</v>
      </c>
      <c r="Q96" s="12" t="s">
        <v>84</v>
      </c>
      <c r="R96" s="12" t="s">
        <v>85</v>
      </c>
      <c r="S96" s="1"/>
      <c r="T96" s="1"/>
    </row>
    <row r="97" customFormat="false" ht="15" hidden="false" customHeight="false" outlineLevel="0" collapsed="false">
      <c r="A97" s="1"/>
      <c r="B97" s="9" t="s">
        <v>269</v>
      </c>
      <c r="C97" s="9" t="s">
        <v>114</v>
      </c>
      <c r="D97" s="9" t="s">
        <v>124</v>
      </c>
      <c r="E97" s="9" t="s">
        <v>261</v>
      </c>
      <c r="F97" s="9" t="s">
        <v>117</v>
      </c>
      <c r="G97" s="9" t="s">
        <v>69</v>
      </c>
      <c r="H97" s="9" t="s">
        <v>172</v>
      </c>
      <c r="I97" s="9" t="s">
        <v>147</v>
      </c>
      <c r="J97" s="9" t="s">
        <v>229</v>
      </c>
      <c r="K97" s="9" t="s">
        <v>263</v>
      </c>
      <c r="L97" s="10" t="n">
        <v>184</v>
      </c>
      <c r="M97" s="11" t="n">
        <v>6</v>
      </c>
      <c r="N97" s="11" t="n">
        <v>8</v>
      </c>
      <c r="O97" s="12" t="s">
        <v>129</v>
      </c>
      <c r="P97" s="12" t="s">
        <v>177</v>
      </c>
      <c r="Q97" s="12" t="s">
        <v>84</v>
      </c>
      <c r="R97" s="12" t="s">
        <v>85</v>
      </c>
      <c r="S97" s="1"/>
      <c r="T97" s="1"/>
    </row>
    <row r="98" customFormat="false" ht="15" hidden="false" customHeight="false" outlineLevel="0" collapsed="false">
      <c r="A98" s="1"/>
      <c r="B98" s="9" t="s">
        <v>270</v>
      </c>
      <c r="C98" s="9" t="s">
        <v>114</v>
      </c>
      <c r="D98" s="9" t="s">
        <v>124</v>
      </c>
      <c r="E98" s="9" t="s">
        <v>261</v>
      </c>
      <c r="F98" s="9" t="s">
        <v>117</v>
      </c>
      <c r="G98" s="9" t="s">
        <v>69</v>
      </c>
      <c r="H98" s="9" t="s">
        <v>253</v>
      </c>
      <c r="I98" s="9" t="s">
        <v>183</v>
      </c>
      <c r="J98" s="9" t="s">
        <v>184</v>
      </c>
      <c r="K98" s="9" t="s">
        <v>263</v>
      </c>
      <c r="L98" s="10" t="n">
        <v>184</v>
      </c>
      <c r="M98" s="11" t="n">
        <v>6</v>
      </c>
      <c r="N98" s="11" t="n">
        <v>8</v>
      </c>
      <c r="O98" s="12" t="s">
        <v>129</v>
      </c>
      <c r="P98" s="12" t="s">
        <v>177</v>
      </c>
      <c r="Q98" s="12" t="s">
        <v>84</v>
      </c>
      <c r="R98" s="12" t="s">
        <v>85</v>
      </c>
      <c r="S98" s="1"/>
      <c r="T98" s="1"/>
    </row>
    <row r="99" customFormat="false" ht="15" hidden="false" customHeight="false" outlineLevel="0" collapsed="false">
      <c r="A99" s="1"/>
      <c r="B99" s="9" t="s">
        <v>271</v>
      </c>
      <c r="C99" s="9" t="s">
        <v>114</v>
      </c>
      <c r="D99" s="9" t="s">
        <v>124</v>
      </c>
      <c r="E99" s="9" t="s">
        <v>261</v>
      </c>
      <c r="F99" s="9" t="s">
        <v>117</v>
      </c>
      <c r="G99" s="9" t="s">
        <v>69</v>
      </c>
      <c r="H99" s="9" t="s">
        <v>272</v>
      </c>
      <c r="I99" s="9" t="s">
        <v>168</v>
      </c>
      <c r="J99" s="9" t="s">
        <v>273</v>
      </c>
      <c r="K99" s="9" t="s">
        <v>263</v>
      </c>
      <c r="L99" s="10" t="n">
        <v>184</v>
      </c>
      <c r="M99" s="11" t="n">
        <v>3</v>
      </c>
      <c r="N99" s="11" t="n">
        <v>8</v>
      </c>
      <c r="O99" s="12" t="s">
        <v>129</v>
      </c>
      <c r="P99" s="12" t="s">
        <v>177</v>
      </c>
      <c r="Q99" s="12" t="s">
        <v>84</v>
      </c>
      <c r="R99" s="12" t="s">
        <v>85</v>
      </c>
      <c r="S99" s="1"/>
      <c r="T99" s="1"/>
    </row>
    <row r="100" customFormat="false" ht="15" hidden="false" customHeight="false" outlineLevel="0" collapsed="false">
      <c r="A100" s="1"/>
      <c r="B100" s="9" t="s">
        <v>274</v>
      </c>
      <c r="C100" s="9" t="s">
        <v>114</v>
      </c>
      <c r="D100" s="9" t="s">
        <v>124</v>
      </c>
      <c r="E100" s="9" t="s">
        <v>261</v>
      </c>
      <c r="F100" s="9" t="s">
        <v>117</v>
      </c>
      <c r="G100" s="9" t="s">
        <v>69</v>
      </c>
      <c r="H100" s="9" t="s">
        <v>275</v>
      </c>
      <c r="I100" s="9" t="s">
        <v>168</v>
      </c>
      <c r="J100" s="9" t="s">
        <v>273</v>
      </c>
      <c r="K100" s="9" t="s">
        <v>263</v>
      </c>
      <c r="L100" s="10" t="n">
        <v>184</v>
      </c>
      <c r="M100" s="11" t="n">
        <v>5</v>
      </c>
      <c r="N100" s="11" t="n">
        <v>8</v>
      </c>
      <c r="O100" s="12" t="s">
        <v>129</v>
      </c>
      <c r="P100" s="12" t="s">
        <v>177</v>
      </c>
      <c r="Q100" s="12" t="s">
        <v>84</v>
      </c>
      <c r="R100" s="12" t="s">
        <v>85</v>
      </c>
      <c r="S100" s="1"/>
      <c r="T100" s="1"/>
    </row>
    <row r="101" customFormat="false" ht="15" hidden="false" customHeight="false" outlineLevel="0" collapsed="false">
      <c r="A101" s="1"/>
      <c r="B101" s="9" t="s">
        <v>276</v>
      </c>
      <c r="C101" s="9" t="s">
        <v>114</v>
      </c>
      <c r="D101" s="9" t="s">
        <v>124</v>
      </c>
      <c r="E101" s="9" t="s">
        <v>261</v>
      </c>
      <c r="F101" s="9" t="s">
        <v>117</v>
      </c>
      <c r="G101" s="9" t="s">
        <v>69</v>
      </c>
      <c r="H101" s="9" t="s">
        <v>220</v>
      </c>
      <c r="I101" s="9" t="s">
        <v>140</v>
      </c>
      <c r="J101" s="9" t="s">
        <v>211</v>
      </c>
      <c r="K101" s="9" t="s">
        <v>263</v>
      </c>
      <c r="L101" s="10" t="n">
        <v>184</v>
      </c>
      <c r="M101" s="11" t="n">
        <v>7</v>
      </c>
      <c r="N101" s="11" t="n">
        <v>8</v>
      </c>
      <c r="O101" s="12" t="s">
        <v>129</v>
      </c>
      <c r="P101" s="12" t="s">
        <v>177</v>
      </c>
      <c r="Q101" s="12" t="s">
        <v>84</v>
      </c>
      <c r="R101" s="12" t="s">
        <v>85</v>
      </c>
      <c r="S101" s="1"/>
      <c r="T101" s="1"/>
    </row>
    <row r="102" customFormat="false" ht="15" hidden="false" customHeight="false" outlineLevel="0" collapsed="false">
      <c r="A102" s="1"/>
      <c r="B102" s="9" t="s">
        <v>277</v>
      </c>
      <c r="C102" s="9" t="s">
        <v>114</v>
      </c>
      <c r="D102" s="9" t="s">
        <v>124</v>
      </c>
      <c r="E102" s="9" t="s">
        <v>261</v>
      </c>
      <c r="F102" s="9" t="s">
        <v>117</v>
      </c>
      <c r="G102" s="9" t="s">
        <v>69</v>
      </c>
      <c r="H102" s="9" t="s">
        <v>176</v>
      </c>
      <c r="I102" s="9" t="s">
        <v>191</v>
      </c>
      <c r="J102" s="9" t="s">
        <v>148</v>
      </c>
      <c r="K102" s="9" t="s">
        <v>263</v>
      </c>
      <c r="L102" s="10" t="n">
        <v>184</v>
      </c>
      <c r="M102" s="11" t="n">
        <v>4</v>
      </c>
      <c r="N102" s="11" t="n">
        <v>8</v>
      </c>
      <c r="O102" s="12" t="s">
        <v>129</v>
      </c>
      <c r="P102" s="12" t="s">
        <v>177</v>
      </c>
      <c r="Q102" s="12" t="s">
        <v>84</v>
      </c>
      <c r="R102" s="12" t="s">
        <v>85</v>
      </c>
      <c r="S102" s="1"/>
      <c r="T102" s="1"/>
    </row>
    <row r="103" customFormat="false" ht="15" hidden="false" customHeight="false" outlineLevel="0" collapsed="false">
      <c r="A103" s="1"/>
      <c r="B103" s="9" t="s">
        <v>278</v>
      </c>
      <c r="C103" s="9" t="s">
        <v>114</v>
      </c>
      <c r="D103" s="9" t="s">
        <v>124</v>
      </c>
      <c r="E103" s="9" t="s">
        <v>261</v>
      </c>
      <c r="F103" s="9" t="s">
        <v>117</v>
      </c>
      <c r="G103" s="9" t="s">
        <v>69</v>
      </c>
      <c r="H103" s="9" t="s">
        <v>208</v>
      </c>
      <c r="I103" s="9" t="s">
        <v>191</v>
      </c>
      <c r="J103" s="9" t="s">
        <v>180</v>
      </c>
      <c r="K103" s="9" t="s">
        <v>263</v>
      </c>
      <c r="L103" s="10" t="n">
        <v>184</v>
      </c>
      <c r="M103" s="11" t="n">
        <v>6</v>
      </c>
      <c r="N103" s="11" t="n">
        <v>8</v>
      </c>
      <c r="O103" s="12" t="s">
        <v>129</v>
      </c>
      <c r="P103" s="12" t="s">
        <v>177</v>
      </c>
      <c r="Q103" s="12" t="s">
        <v>84</v>
      </c>
      <c r="R103" s="12" t="s">
        <v>85</v>
      </c>
      <c r="S103" s="1"/>
      <c r="T103" s="1"/>
    </row>
    <row r="104" customFormat="false" ht="15" hidden="false" customHeight="false" outlineLevel="0" collapsed="false">
      <c r="A104" s="1"/>
      <c r="B104" s="9" t="s">
        <v>279</v>
      </c>
      <c r="C104" s="9" t="s">
        <v>114</v>
      </c>
      <c r="D104" s="9" t="s">
        <v>124</v>
      </c>
      <c r="E104" s="9" t="s">
        <v>261</v>
      </c>
      <c r="F104" s="9" t="s">
        <v>117</v>
      </c>
      <c r="G104" s="9" t="s">
        <v>69</v>
      </c>
      <c r="H104" s="9" t="s">
        <v>190</v>
      </c>
      <c r="I104" s="9" t="s">
        <v>191</v>
      </c>
      <c r="J104" s="9" t="s">
        <v>229</v>
      </c>
      <c r="K104" s="9" t="s">
        <v>263</v>
      </c>
      <c r="L104" s="10" t="n">
        <v>184</v>
      </c>
      <c r="M104" s="11" t="n">
        <v>8</v>
      </c>
      <c r="N104" s="11" t="n">
        <v>8</v>
      </c>
      <c r="O104" s="12" t="s">
        <v>129</v>
      </c>
      <c r="P104" s="12" t="s">
        <v>177</v>
      </c>
      <c r="Q104" s="12" t="s">
        <v>84</v>
      </c>
      <c r="R104" s="12" t="s">
        <v>85</v>
      </c>
      <c r="S104" s="1"/>
      <c r="T104" s="1"/>
    </row>
    <row r="105" customFormat="false" ht="15" hidden="false" customHeight="false" outlineLevel="0" collapsed="false">
      <c r="A105" s="1"/>
      <c r="B105" s="9" t="s">
        <v>280</v>
      </c>
      <c r="C105" s="9" t="s">
        <v>114</v>
      </c>
      <c r="D105" s="9" t="s">
        <v>124</v>
      </c>
      <c r="E105" s="9" t="s">
        <v>261</v>
      </c>
      <c r="F105" s="9" t="s">
        <v>117</v>
      </c>
      <c r="G105" s="9" t="s">
        <v>69</v>
      </c>
      <c r="H105" s="9" t="s">
        <v>172</v>
      </c>
      <c r="I105" s="9" t="s">
        <v>143</v>
      </c>
      <c r="J105" s="9" t="s">
        <v>180</v>
      </c>
      <c r="K105" s="9" t="s">
        <v>263</v>
      </c>
      <c r="L105" s="10" t="n">
        <v>184</v>
      </c>
      <c r="M105" s="11" t="n">
        <v>7</v>
      </c>
      <c r="N105" s="11" t="n">
        <v>8</v>
      </c>
      <c r="O105" s="12" t="s">
        <v>129</v>
      </c>
      <c r="P105" s="12" t="s">
        <v>177</v>
      </c>
      <c r="Q105" s="12" t="s">
        <v>84</v>
      </c>
      <c r="R105" s="12" t="s">
        <v>85</v>
      </c>
      <c r="S105" s="1"/>
      <c r="T105" s="1"/>
    </row>
    <row r="106" customFormat="false" ht="15" hidden="false" customHeight="false" outlineLevel="0" collapsed="false">
      <c r="A106" s="1"/>
      <c r="B106" s="9" t="s">
        <v>281</v>
      </c>
      <c r="C106" s="9" t="s">
        <v>114</v>
      </c>
      <c r="D106" s="9" t="s">
        <v>124</v>
      </c>
      <c r="E106" s="9" t="s">
        <v>261</v>
      </c>
      <c r="F106" s="9" t="s">
        <v>117</v>
      </c>
      <c r="G106" s="9" t="s">
        <v>69</v>
      </c>
      <c r="H106" s="9" t="s">
        <v>282</v>
      </c>
      <c r="I106" s="9" t="s">
        <v>143</v>
      </c>
      <c r="J106" s="9" t="s">
        <v>229</v>
      </c>
      <c r="K106" s="9" t="s">
        <v>263</v>
      </c>
      <c r="L106" s="10" t="n">
        <v>184</v>
      </c>
      <c r="M106" s="11" t="n">
        <v>6</v>
      </c>
      <c r="N106" s="11" t="n">
        <v>8</v>
      </c>
      <c r="O106" s="12" t="s">
        <v>129</v>
      </c>
      <c r="P106" s="12" t="s">
        <v>177</v>
      </c>
      <c r="Q106" s="12" t="s">
        <v>84</v>
      </c>
      <c r="R106" s="12" t="s">
        <v>85</v>
      </c>
      <c r="S106" s="1"/>
      <c r="T106" s="1"/>
    </row>
    <row r="107" customFormat="false" ht="15" hidden="false" customHeight="false" outlineLevel="0" collapsed="false">
      <c r="A107" s="1"/>
      <c r="B107" s="9" t="s">
        <v>283</v>
      </c>
      <c r="C107" s="9" t="s">
        <v>114</v>
      </c>
      <c r="D107" s="9" t="s">
        <v>124</v>
      </c>
      <c r="E107" s="9" t="s">
        <v>261</v>
      </c>
      <c r="F107" s="9" t="s">
        <v>117</v>
      </c>
      <c r="G107" s="9" t="s">
        <v>69</v>
      </c>
      <c r="H107" s="9" t="s">
        <v>284</v>
      </c>
      <c r="I107" s="9" t="s">
        <v>143</v>
      </c>
      <c r="J107" s="9" t="s">
        <v>229</v>
      </c>
      <c r="K107" s="9" t="s">
        <v>263</v>
      </c>
      <c r="L107" s="10" t="n">
        <v>184</v>
      </c>
      <c r="M107" s="11" t="n">
        <v>5</v>
      </c>
      <c r="N107" s="11" t="n">
        <v>8</v>
      </c>
      <c r="O107" s="12" t="s">
        <v>129</v>
      </c>
      <c r="P107" s="12" t="s">
        <v>177</v>
      </c>
      <c r="Q107" s="12" t="s">
        <v>84</v>
      </c>
      <c r="R107" s="12" t="s">
        <v>85</v>
      </c>
      <c r="S107" s="1"/>
      <c r="T107" s="1"/>
    </row>
    <row r="108" customFormat="false" ht="15" hidden="false" customHeight="false" outlineLevel="0" collapsed="false">
      <c r="A108" s="1"/>
      <c r="B108" s="9" t="s">
        <v>285</v>
      </c>
      <c r="C108" s="9" t="s">
        <v>114</v>
      </c>
      <c r="D108" s="9" t="s">
        <v>124</v>
      </c>
      <c r="E108" s="9" t="s">
        <v>261</v>
      </c>
      <c r="F108" s="9" t="s">
        <v>117</v>
      </c>
      <c r="G108" s="9" t="s">
        <v>69</v>
      </c>
      <c r="H108" s="9"/>
      <c r="I108" s="9"/>
      <c r="J108" s="9"/>
      <c r="K108" s="9"/>
      <c r="L108" s="10" t="n">
        <v>0</v>
      </c>
      <c r="M108" s="11" t="n">
        <v>0</v>
      </c>
      <c r="N108" s="11" t="n">
        <v>0</v>
      </c>
      <c r="O108" s="12" t="s">
        <v>129</v>
      </c>
      <c r="P108" s="12" t="s">
        <v>177</v>
      </c>
      <c r="Q108" s="12" t="s">
        <v>75</v>
      </c>
      <c r="R108" s="12" t="s">
        <v>161</v>
      </c>
      <c r="S108" s="1"/>
      <c r="T108" s="1"/>
    </row>
    <row r="109" customFormat="false" ht="15" hidden="false" customHeight="false" outlineLevel="0" collapsed="false">
      <c r="A109" s="1"/>
      <c r="B109" s="9" t="s">
        <v>286</v>
      </c>
      <c r="C109" s="9" t="s">
        <v>114</v>
      </c>
      <c r="D109" s="9" t="s">
        <v>124</v>
      </c>
      <c r="E109" s="9" t="s">
        <v>261</v>
      </c>
      <c r="F109" s="9" t="s">
        <v>171</v>
      </c>
      <c r="G109" s="9" t="s">
        <v>69</v>
      </c>
      <c r="H109" s="9" t="s">
        <v>188</v>
      </c>
      <c r="I109" s="9" t="s">
        <v>140</v>
      </c>
      <c r="J109" s="9" t="s">
        <v>211</v>
      </c>
      <c r="K109" s="9" t="s">
        <v>263</v>
      </c>
      <c r="L109" s="10" t="n">
        <v>276</v>
      </c>
      <c r="M109" s="11" t="n">
        <v>4</v>
      </c>
      <c r="N109" s="11" t="n">
        <v>8</v>
      </c>
      <c r="O109" s="12" t="s">
        <v>129</v>
      </c>
      <c r="P109" s="12" t="s">
        <v>177</v>
      </c>
      <c r="Q109" s="12" t="s">
        <v>84</v>
      </c>
      <c r="R109" s="12" t="s">
        <v>173</v>
      </c>
      <c r="S109" s="1"/>
      <c r="T109" s="1"/>
    </row>
    <row r="110" customFormat="false" ht="15" hidden="false" customHeight="false" outlineLevel="0" collapsed="false">
      <c r="A110" s="1"/>
      <c r="B110" s="9" t="s">
        <v>287</v>
      </c>
      <c r="C110" s="9" t="s">
        <v>114</v>
      </c>
      <c r="D110" s="9" t="s">
        <v>124</v>
      </c>
      <c r="E110" s="9" t="s">
        <v>288</v>
      </c>
      <c r="F110" s="9" t="s">
        <v>117</v>
      </c>
      <c r="G110" s="9" t="s">
        <v>69</v>
      </c>
      <c r="H110" s="9" t="s">
        <v>289</v>
      </c>
      <c r="I110" s="9" t="s">
        <v>153</v>
      </c>
      <c r="J110" s="9" t="s">
        <v>148</v>
      </c>
      <c r="K110" s="9" t="s">
        <v>120</v>
      </c>
      <c r="L110" s="10" t="n">
        <v>200</v>
      </c>
      <c r="M110" s="11" t="n">
        <v>9</v>
      </c>
      <c r="N110" s="11" t="n">
        <v>8</v>
      </c>
      <c r="O110" s="12" t="s">
        <v>129</v>
      </c>
      <c r="P110" s="12" t="s">
        <v>177</v>
      </c>
      <c r="Q110" s="12" t="s">
        <v>84</v>
      </c>
      <c r="R110" s="12" t="s">
        <v>85</v>
      </c>
      <c r="S110" s="1"/>
      <c r="T110" s="1"/>
    </row>
    <row r="111" customFormat="false" ht="15" hidden="false" customHeight="false" outlineLevel="0" collapsed="false">
      <c r="A111" s="1"/>
      <c r="B111" s="9" t="s">
        <v>290</v>
      </c>
      <c r="C111" s="9" t="s">
        <v>114</v>
      </c>
      <c r="D111" s="9" t="s">
        <v>124</v>
      </c>
      <c r="E111" s="9" t="s">
        <v>288</v>
      </c>
      <c r="F111" s="9" t="s">
        <v>117</v>
      </c>
      <c r="G111" s="9" t="s">
        <v>69</v>
      </c>
      <c r="H111" s="9" t="s">
        <v>201</v>
      </c>
      <c r="I111" s="9" t="s">
        <v>147</v>
      </c>
      <c r="J111" s="9" t="s">
        <v>180</v>
      </c>
      <c r="K111" s="9" t="s">
        <v>120</v>
      </c>
      <c r="L111" s="10" t="n">
        <v>200</v>
      </c>
      <c r="M111" s="11" t="n">
        <v>7</v>
      </c>
      <c r="N111" s="11" t="n">
        <v>8</v>
      </c>
      <c r="O111" s="12" t="s">
        <v>129</v>
      </c>
      <c r="P111" s="12" t="s">
        <v>177</v>
      </c>
      <c r="Q111" s="12" t="s">
        <v>84</v>
      </c>
      <c r="R111" s="12" t="s">
        <v>85</v>
      </c>
      <c r="S111" s="1"/>
      <c r="T111" s="1"/>
    </row>
    <row r="112" customFormat="false" ht="15" hidden="false" customHeight="false" outlineLevel="0" collapsed="false">
      <c r="A112" s="1"/>
      <c r="B112" s="9" t="s">
        <v>291</v>
      </c>
      <c r="C112" s="9" t="s">
        <v>114</v>
      </c>
      <c r="D112" s="9" t="s">
        <v>124</v>
      </c>
      <c r="E112" s="9" t="s">
        <v>288</v>
      </c>
      <c r="F112" s="9" t="s">
        <v>117</v>
      </c>
      <c r="G112" s="9" t="s">
        <v>69</v>
      </c>
      <c r="H112" s="9" t="s">
        <v>182</v>
      </c>
      <c r="I112" s="9" t="s">
        <v>140</v>
      </c>
      <c r="J112" s="9" t="s">
        <v>292</v>
      </c>
      <c r="K112" s="9" t="s">
        <v>120</v>
      </c>
      <c r="L112" s="10" t="n">
        <v>200</v>
      </c>
      <c r="M112" s="11" t="n">
        <v>6</v>
      </c>
      <c r="N112" s="11" t="n">
        <v>8</v>
      </c>
      <c r="O112" s="12" t="s">
        <v>129</v>
      </c>
      <c r="P112" s="12" t="s">
        <v>177</v>
      </c>
      <c r="Q112" s="12" t="s">
        <v>84</v>
      </c>
      <c r="R112" s="12" t="s">
        <v>85</v>
      </c>
      <c r="S112" s="1"/>
      <c r="T112" s="1"/>
    </row>
    <row r="113" customFormat="false" ht="15" hidden="false" customHeight="false" outlineLevel="0" collapsed="false">
      <c r="A113" s="1"/>
      <c r="B113" s="9" t="s">
        <v>293</v>
      </c>
      <c r="C113" s="9" t="s">
        <v>114</v>
      </c>
      <c r="D113" s="9" t="s">
        <v>124</v>
      </c>
      <c r="E113" s="9" t="s">
        <v>288</v>
      </c>
      <c r="F113" s="9" t="s">
        <v>117</v>
      </c>
      <c r="G113" s="9" t="s">
        <v>69</v>
      </c>
      <c r="H113" s="9" t="s">
        <v>210</v>
      </c>
      <c r="I113" s="9" t="s">
        <v>140</v>
      </c>
      <c r="J113" s="9" t="s">
        <v>229</v>
      </c>
      <c r="K113" s="9" t="s">
        <v>120</v>
      </c>
      <c r="L113" s="10" t="n">
        <v>200</v>
      </c>
      <c r="M113" s="11" t="n">
        <v>7</v>
      </c>
      <c r="N113" s="11" t="n">
        <v>8</v>
      </c>
      <c r="O113" s="12" t="s">
        <v>129</v>
      </c>
      <c r="P113" s="12" t="s">
        <v>177</v>
      </c>
      <c r="Q113" s="12" t="s">
        <v>84</v>
      </c>
      <c r="R113" s="12" t="s">
        <v>85</v>
      </c>
      <c r="S113" s="1"/>
      <c r="T113" s="1"/>
    </row>
    <row r="114" customFormat="false" ht="15" hidden="false" customHeight="false" outlineLevel="0" collapsed="false">
      <c r="A114" s="1"/>
      <c r="B114" s="9" t="s">
        <v>294</v>
      </c>
      <c r="C114" s="9" t="s">
        <v>114</v>
      </c>
      <c r="D114" s="9" t="s">
        <v>124</v>
      </c>
      <c r="E114" s="9" t="s">
        <v>288</v>
      </c>
      <c r="F114" s="9" t="s">
        <v>117</v>
      </c>
      <c r="G114" s="9" t="s">
        <v>69</v>
      </c>
      <c r="H114" s="9" t="s">
        <v>243</v>
      </c>
      <c r="I114" s="9" t="s">
        <v>191</v>
      </c>
      <c r="J114" s="9" t="s">
        <v>229</v>
      </c>
      <c r="K114" s="9" t="s">
        <v>120</v>
      </c>
      <c r="L114" s="10" t="n">
        <v>200</v>
      </c>
      <c r="M114" s="11" t="n">
        <v>2</v>
      </c>
      <c r="N114" s="11" t="n">
        <v>8</v>
      </c>
      <c r="O114" s="12" t="s">
        <v>129</v>
      </c>
      <c r="P114" s="12" t="s">
        <v>177</v>
      </c>
      <c r="Q114" s="12" t="s">
        <v>84</v>
      </c>
      <c r="R114" s="12" t="s">
        <v>85</v>
      </c>
      <c r="S114" s="1"/>
      <c r="T114" s="1"/>
    </row>
    <row r="115" customFormat="false" ht="15" hidden="false" customHeight="false" outlineLevel="0" collapsed="false">
      <c r="A115" s="1"/>
      <c r="B115" s="9" t="s">
        <v>295</v>
      </c>
      <c r="C115" s="9" t="s">
        <v>114</v>
      </c>
      <c r="D115" s="9" t="s">
        <v>124</v>
      </c>
      <c r="E115" s="9" t="s">
        <v>288</v>
      </c>
      <c r="F115" s="9" t="s">
        <v>117</v>
      </c>
      <c r="G115" s="9" t="s">
        <v>69</v>
      </c>
      <c r="H115" s="9" t="s">
        <v>289</v>
      </c>
      <c r="I115" s="9" t="s">
        <v>143</v>
      </c>
      <c r="J115" s="9" t="s">
        <v>229</v>
      </c>
      <c r="K115" s="9" t="s">
        <v>120</v>
      </c>
      <c r="L115" s="10" t="n">
        <v>200</v>
      </c>
      <c r="M115" s="11" t="n">
        <v>6</v>
      </c>
      <c r="N115" s="11" t="n">
        <v>8</v>
      </c>
      <c r="O115" s="12" t="s">
        <v>129</v>
      </c>
      <c r="P115" s="12" t="s">
        <v>177</v>
      </c>
      <c r="Q115" s="12" t="s">
        <v>84</v>
      </c>
      <c r="R115" s="12" t="s">
        <v>85</v>
      </c>
      <c r="S115" s="1"/>
      <c r="T115" s="1"/>
    </row>
    <row r="116" customFormat="false" ht="15" hidden="false" customHeight="false" outlineLevel="0" collapsed="false">
      <c r="A116" s="1"/>
      <c r="B116" s="9" t="s">
        <v>296</v>
      </c>
      <c r="C116" s="9" t="s">
        <v>114</v>
      </c>
      <c r="D116" s="9" t="s">
        <v>124</v>
      </c>
      <c r="E116" s="9" t="s">
        <v>288</v>
      </c>
      <c r="F116" s="9" t="s">
        <v>117</v>
      </c>
      <c r="G116" s="9" t="s">
        <v>69</v>
      </c>
      <c r="H116" s="9"/>
      <c r="I116" s="9"/>
      <c r="J116" s="9"/>
      <c r="K116" s="9"/>
      <c r="L116" s="10" t="n">
        <v>0</v>
      </c>
      <c r="M116" s="11" t="n">
        <v>0</v>
      </c>
      <c r="N116" s="11" t="n">
        <v>0</v>
      </c>
      <c r="O116" s="12" t="s">
        <v>129</v>
      </c>
      <c r="P116" s="12" t="s">
        <v>177</v>
      </c>
      <c r="Q116" s="12" t="s">
        <v>75</v>
      </c>
      <c r="R116" s="12" t="s">
        <v>161</v>
      </c>
      <c r="S116" s="1"/>
      <c r="T116" s="1"/>
    </row>
    <row r="117" customFormat="false" ht="15" hidden="false" customHeight="false" outlineLevel="0" collapsed="false">
      <c r="A117" s="1"/>
      <c r="B117" s="9" t="s">
        <v>297</v>
      </c>
      <c r="C117" s="9" t="s">
        <v>114</v>
      </c>
      <c r="D117" s="9" t="s">
        <v>124</v>
      </c>
      <c r="E117" s="9" t="s">
        <v>288</v>
      </c>
      <c r="F117" s="9" t="s">
        <v>171</v>
      </c>
      <c r="G117" s="9" t="s">
        <v>69</v>
      </c>
      <c r="H117" s="9" t="s">
        <v>210</v>
      </c>
      <c r="I117" s="9" t="s">
        <v>153</v>
      </c>
      <c r="J117" s="9" t="s">
        <v>148</v>
      </c>
      <c r="K117" s="9" t="s">
        <v>120</v>
      </c>
      <c r="L117" s="10" t="n">
        <v>300</v>
      </c>
      <c r="M117" s="11" t="n">
        <v>2</v>
      </c>
      <c r="N117" s="11" t="n">
        <v>8</v>
      </c>
      <c r="O117" s="12" t="s">
        <v>129</v>
      </c>
      <c r="P117" s="12" t="s">
        <v>177</v>
      </c>
      <c r="Q117" s="12" t="s">
        <v>84</v>
      </c>
      <c r="R117" s="12" t="s">
        <v>173</v>
      </c>
      <c r="S117" s="1"/>
      <c r="T117" s="1"/>
    </row>
    <row r="118" customFormat="false" ht="15" hidden="false" customHeight="false" outlineLevel="0" collapsed="false">
      <c r="A118" s="1"/>
      <c r="B118" s="9" t="s">
        <v>298</v>
      </c>
      <c r="C118" s="9" t="s">
        <v>114</v>
      </c>
      <c r="D118" s="9" t="s">
        <v>124</v>
      </c>
      <c r="E118" s="9" t="s">
        <v>299</v>
      </c>
      <c r="F118" s="9" t="s">
        <v>117</v>
      </c>
      <c r="G118" s="9" t="s">
        <v>69</v>
      </c>
      <c r="H118" s="9"/>
      <c r="I118" s="9"/>
      <c r="J118" s="9"/>
      <c r="K118" s="9"/>
      <c r="L118" s="10" t="n">
        <v>0</v>
      </c>
      <c r="M118" s="11" t="n">
        <v>0</v>
      </c>
      <c r="N118" s="11" t="n">
        <v>0</v>
      </c>
      <c r="O118" s="12" t="s">
        <v>129</v>
      </c>
      <c r="P118" s="12" t="s">
        <v>177</v>
      </c>
      <c r="Q118" s="12" t="s">
        <v>75</v>
      </c>
      <c r="R118" s="12" t="s">
        <v>161</v>
      </c>
      <c r="S118" s="1"/>
      <c r="T118" s="1"/>
    </row>
    <row r="119" customFormat="false" ht="15" hidden="false" customHeight="false" outlineLevel="0" collapsed="false">
      <c r="A119" s="1"/>
      <c r="B119" s="9" t="s">
        <v>300</v>
      </c>
      <c r="C119" s="9" t="s">
        <v>114</v>
      </c>
      <c r="D119" s="9" t="s">
        <v>124</v>
      </c>
      <c r="E119" s="9" t="s">
        <v>299</v>
      </c>
      <c r="F119" s="9" t="s">
        <v>117</v>
      </c>
      <c r="G119" s="9" t="s">
        <v>69</v>
      </c>
      <c r="H119" s="9" t="s">
        <v>267</v>
      </c>
      <c r="I119" s="9" t="s">
        <v>147</v>
      </c>
      <c r="J119" s="9" t="s">
        <v>119</v>
      </c>
      <c r="K119" s="9" t="s">
        <v>120</v>
      </c>
      <c r="L119" s="10" t="n">
        <v>200</v>
      </c>
      <c r="M119" s="11" t="n">
        <v>7</v>
      </c>
      <c r="N119" s="11" t="n">
        <v>8</v>
      </c>
      <c r="O119" s="12" t="s">
        <v>129</v>
      </c>
      <c r="P119" s="12" t="s">
        <v>177</v>
      </c>
      <c r="Q119" s="12" t="s">
        <v>84</v>
      </c>
      <c r="R119" s="12" t="s">
        <v>85</v>
      </c>
      <c r="S119" s="1"/>
      <c r="T119" s="1"/>
    </row>
    <row r="120" customFormat="false" ht="15" hidden="false" customHeight="false" outlineLevel="0" collapsed="false">
      <c r="A120" s="1"/>
      <c r="B120" s="9" t="s">
        <v>301</v>
      </c>
      <c r="C120" s="9" t="s">
        <v>114</v>
      </c>
      <c r="D120" s="9" t="s">
        <v>124</v>
      </c>
      <c r="E120" s="9" t="s">
        <v>299</v>
      </c>
      <c r="F120" s="9" t="s">
        <v>117</v>
      </c>
      <c r="G120" s="9" t="s">
        <v>69</v>
      </c>
      <c r="H120" s="9" t="s">
        <v>302</v>
      </c>
      <c r="I120" s="9" t="s">
        <v>183</v>
      </c>
      <c r="J120" s="9" t="s">
        <v>303</v>
      </c>
      <c r="K120" s="9" t="s">
        <v>120</v>
      </c>
      <c r="L120" s="10" t="n">
        <v>200</v>
      </c>
      <c r="M120" s="11" t="n">
        <v>3</v>
      </c>
      <c r="N120" s="11" t="n">
        <v>0</v>
      </c>
      <c r="O120" s="12" t="s">
        <v>129</v>
      </c>
      <c r="P120" s="12" t="s">
        <v>177</v>
      </c>
      <c r="Q120" s="12" t="s">
        <v>84</v>
      </c>
      <c r="R120" s="12" t="s">
        <v>85</v>
      </c>
      <c r="S120" s="1"/>
      <c r="T120" s="1"/>
    </row>
    <row r="121" customFormat="false" ht="15" hidden="false" customHeight="false" outlineLevel="0" collapsed="false">
      <c r="A121" s="1"/>
      <c r="B121" s="9" t="s">
        <v>304</v>
      </c>
      <c r="C121" s="9" t="s">
        <v>114</v>
      </c>
      <c r="D121" s="9" t="s">
        <v>124</v>
      </c>
      <c r="E121" s="9" t="s">
        <v>299</v>
      </c>
      <c r="F121" s="9" t="s">
        <v>117</v>
      </c>
      <c r="G121" s="9" t="s">
        <v>69</v>
      </c>
      <c r="H121" s="9" t="s">
        <v>182</v>
      </c>
      <c r="I121" s="9" t="s">
        <v>140</v>
      </c>
      <c r="J121" s="9" t="s">
        <v>229</v>
      </c>
      <c r="K121" s="9" t="s">
        <v>120</v>
      </c>
      <c r="L121" s="10" t="n">
        <v>200</v>
      </c>
      <c r="M121" s="11" t="n">
        <v>9</v>
      </c>
      <c r="N121" s="11" t="n">
        <v>9</v>
      </c>
      <c r="O121" s="12" t="s">
        <v>129</v>
      </c>
      <c r="P121" s="12" t="s">
        <v>177</v>
      </c>
      <c r="Q121" s="12" t="s">
        <v>84</v>
      </c>
      <c r="R121" s="12" t="s">
        <v>85</v>
      </c>
      <c r="S121" s="1"/>
      <c r="T121" s="1"/>
    </row>
    <row r="122" customFormat="false" ht="15" hidden="false" customHeight="false" outlineLevel="0" collapsed="false">
      <c r="A122" s="1"/>
      <c r="B122" s="9" t="s">
        <v>305</v>
      </c>
      <c r="C122" s="9" t="s">
        <v>114</v>
      </c>
      <c r="D122" s="9" t="s">
        <v>124</v>
      </c>
      <c r="E122" s="9" t="s">
        <v>299</v>
      </c>
      <c r="F122" s="9" t="s">
        <v>117</v>
      </c>
      <c r="G122" s="9" t="s">
        <v>69</v>
      </c>
      <c r="H122" s="9" t="s">
        <v>289</v>
      </c>
      <c r="I122" s="9" t="s">
        <v>143</v>
      </c>
      <c r="J122" s="9" t="s">
        <v>292</v>
      </c>
      <c r="K122" s="9" t="s">
        <v>120</v>
      </c>
      <c r="L122" s="10" t="n">
        <v>200</v>
      </c>
      <c r="M122" s="11" t="n">
        <v>8</v>
      </c>
      <c r="N122" s="11" t="n">
        <v>8</v>
      </c>
      <c r="O122" s="12" t="s">
        <v>129</v>
      </c>
      <c r="P122" s="12" t="s">
        <v>177</v>
      </c>
      <c r="Q122" s="12" t="s">
        <v>84</v>
      </c>
      <c r="R122" s="12" t="s">
        <v>85</v>
      </c>
      <c r="S122" s="1"/>
      <c r="T122" s="1"/>
    </row>
    <row r="123" customFormat="false" ht="15" hidden="false" customHeight="false" outlineLevel="0" collapsed="false">
      <c r="A123" s="1"/>
      <c r="B123" s="9" t="s">
        <v>306</v>
      </c>
      <c r="C123" s="9" t="s">
        <v>114</v>
      </c>
      <c r="D123" s="9" t="s">
        <v>124</v>
      </c>
      <c r="E123" s="9" t="s">
        <v>299</v>
      </c>
      <c r="F123" s="9" t="s">
        <v>117</v>
      </c>
      <c r="G123" s="9" t="s">
        <v>69</v>
      </c>
      <c r="H123" s="9" t="s">
        <v>176</v>
      </c>
      <c r="I123" s="9" t="s">
        <v>191</v>
      </c>
      <c r="J123" s="9" t="s">
        <v>229</v>
      </c>
      <c r="K123" s="9" t="s">
        <v>120</v>
      </c>
      <c r="L123" s="10" t="n">
        <v>200</v>
      </c>
      <c r="M123" s="11" t="n">
        <v>3</v>
      </c>
      <c r="N123" s="11" t="n">
        <v>8</v>
      </c>
      <c r="O123" s="12" t="s">
        <v>129</v>
      </c>
      <c r="P123" s="12" t="s">
        <v>177</v>
      </c>
      <c r="Q123" s="12" t="s">
        <v>84</v>
      </c>
      <c r="R123" s="12" t="s">
        <v>85</v>
      </c>
      <c r="S123" s="1"/>
      <c r="T123" s="1"/>
    </row>
    <row r="124" customFormat="false" ht="15" hidden="false" customHeight="false" outlineLevel="0" collapsed="false">
      <c r="A124" s="1"/>
      <c r="B124" s="9" t="s">
        <v>307</v>
      </c>
      <c r="C124" s="9" t="s">
        <v>114</v>
      </c>
      <c r="D124" s="9" t="s">
        <v>308</v>
      </c>
      <c r="E124" s="9" t="s">
        <v>309</v>
      </c>
      <c r="F124" s="9" t="s">
        <v>117</v>
      </c>
      <c r="G124" s="9" t="s">
        <v>69</v>
      </c>
      <c r="H124" s="9" t="s">
        <v>310</v>
      </c>
      <c r="I124" s="9" t="s">
        <v>147</v>
      </c>
      <c r="J124" s="9" t="s">
        <v>311</v>
      </c>
      <c r="K124" s="9" t="s">
        <v>312</v>
      </c>
      <c r="L124" s="10" t="n">
        <v>114</v>
      </c>
      <c r="M124" s="11" t="n">
        <v>12</v>
      </c>
      <c r="N124" s="11" t="n">
        <v>18</v>
      </c>
      <c r="O124" s="12" t="s">
        <v>313</v>
      </c>
      <c r="P124" s="12" t="s">
        <v>314</v>
      </c>
      <c r="Q124" s="12" t="s">
        <v>84</v>
      </c>
      <c r="R124" s="12" t="s">
        <v>85</v>
      </c>
      <c r="S124" s="1"/>
      <c r="T124" s="1"/>
    </row>
    <row r="125" customFormat="false" ht="15" hidden="false" customHeight="false" outlineLevel="0" collapsed="false">
      <c r="A125" s="1"/>
      <c r="B125" s="9" t="s">
        <v>315</v>
      </c>
      <c r="C125" s="9" t="s">
        <v>114</v>
      </c>
      <c r="D125" s="9" t="s">
        <v>308</v>
      </c>
      <c r="E125" s="9" t="s">
        <v>309</v>
      </c>
      <c r="F125" s="9" t="s">
        <v>117</v>
      </c>
      <c r="G125" s="9" t="s">
        <v>69</v>
      </c>
      <c r="H125" s="9" t="s">
        <v>310</v>
      </c>
      <c r="I125" s="9" t="s">
        <v>147</v>
      </c>
      <c r="J125" s="9" t="s">
        <v>316</v>
      </c>
      <c r="K125" s="9" t="s">
        <v>312</v>
      </c>
      <c r="L125" s="10" t="n">
        <v>114</v>
      </c>
      <c r="M125" s="11" t="n">
        <v>8</v>
      </c>
      <c r="N125" s="11" t="n">
        <v>18</v>
      </c>
      <c r="O125" s="12" t="s">
        <v>313</v>
      </c>
      <c r="P125" s="12" t="s">
        <v>314</v>
      </c>
      <c r="Q125" s="12" t="s">
        <v>84</v>
      </c>
      <c r="R125" s="12" t="s">
        <v>85</v>
      </c>
      <c r="S125" s="1"/>
      <c r="T125" s="1"/>
    </row>
    <row r="126" customFormat="false" ht="15" hidden="false" customHeight="false" outlineLevel="0" collapsed="false">
      <c r="A126" s="1"/>
      <c r="B126" s="9" t="s">
        <v>317</v>
      </c>
      <c r="C126" s="9" t="s">
        <v>114</v>
      </c>
      <c r="D126" s="9" t="s">
        <v>308</v>
      </c>
      <c r="E126" s="9" t="s">
        <v>309</v>
      </c>
      <c r="F126" s="9" t="s">
        <v>117</v>
      </c>
      <c r="G126" s="9" t="s">
        <v>69</v>
      </c>
      <c r="H126" s="9" t="s">
        <v>310</v>
      </c>
      <c r="I126" s="9" t="s">
        <v>183</v>
      </c>
      <c r="J126" s="9" t="s">
        <v>311</v>
      </c>
      <c r="K126" s="9" t="s">
        <v>312</v>
      </c>
      <c r="L126" s="10" t="n">
        <v>114</v>
      </c>
      <c r="M126" s="11" t="n">
        <v>17</v>
      </c>
      <c r="N126" s="11" t="n">
        <v>18</v>
      </c>
      <c r="O126" s="12" t="s">
        <v>313</v>
      </c>
      <c r="P126" s="12" t="s">
        <v>314</v>
      </c>
      <c r="Q126" s="12" t="s">
        <v>84</v>
      </c>
      <c r="R126" s="12" t="s">
        <v>85</v>
      </c>
      <c r="S126" s="1"/>
      <c r="T126" s="1"/>
    </row>
    <row r="127" customFormat="false" ht="15" hidden="false" customHeight="false" outlineLevel="0" collapsed="false">
      <c r="A127" s="1"/>
      <c r="B127" s="9" t="s">
        <v>318</v>
      </c>
      <c r="C127" s="9" t="s">
        <v>114</v>
      </c>
      <c r="D127" s="9" t="s">
        <v>308</v>
      </c>
      <c r="E127" s="9" t="s">
        <v>309</v>
      </c>
      <c r="F127" s="9" t="s">
        <v>117</v>
      </c>
      <c r="G127" s="9" t="s">
        <v>69</v>
      </c>
      <c r="H127" s="9" t="s">
        <v>310</v>
      </c>
      <c r="I127" s="9" t="s">
        <v>183</v>
      </c>
      <c r="J127" s="9" t="s">
        <v>316</v>
      </c>
      <c r="K127" s="9" t="s">
        <v>312</v>
      </c>
      <c r="L127" s="10" t="n">
        <v>114</v>
      </c>
      <c r="M127" s="11" t="n">
        <v>18</v>
      </c>
      <c r="N127" s="11" t="n">
        <v>18</v>
      </c>
      <c r="O127" s="12" t="s">
        <v>313</v>
      </c>
      <c r="P127" s="12" t="s">
        <v>314</v>
      </c>
      <c r="Q127" s="12" t="s">
        <v>84</v>
      </c>
      <c r="R127" s="12" t="s">
        <v>85</v>
      </c>
      <c r="S127" s="1"/>
      <c r="T127" s="1"/>
    </row>
    <row r="128" customFormat="false" ht="15" hidden="false" customHeight="false" outlineLevel="0" collapsed="false">
      <c r="A128" s="1"/>
      <c r="B128" s="9" t="s">
        <v>319</v>
      </c>
      <c r="C128" s="9" t="s">
        <v>114</v>
      </c>
      <c r="D128" s="9" t="s">
        <v>308</v>
      </c>
      <c r="E128" s="9" t="s">
        <v>309</v>
      </c>
      <c r="F128" s="9" t="s">
        <v>117</v>
      </c>
      <c r="G128" s="9" t="s">
        <v>69</v>
      </c>
      <c r="H128" s="9" t="s">
        <v>320</v>
      </c>
      <c r="I128" s="9" t="s">
        <v>140</v>
      </c>
      <c r="J128" s="9" t="s">
        <v>311</v>
      </c>
      <c r="K128" s="9" t="s">
        <v>312</v>
      </c>
      <c r="L128" s="10" t="n">
        <v>114</v>
      </c>
      <c r="M128" s="11" t="n">
        <v>4</v>
      </c>
      <c r="N128" s="11" t="n">
        <v>18</v>
      </c>
      <c r="O128" s="12" t="s">
        <v>313</v>
      </c>
      <c r="P128" s="12" t="s">
        <v>314</v>
      </c>
      <c r="Q128" s="12" t="s">
        <v>84</v>
      </c>
      <c r="R128" s="12" t="s">
        <v>85</v>
      </c>
      <c r="S128" s="1"/>
      <c r="T128" s="1"/>
    </row>
    <row r="129" customFormat="false" ht="15" hidden="false" customHeight="false" outlineLevel="0" collapsed="false">
      <c r="A129" s="1"/>
      <c r="B129" s="9" t="s">
        <v>321</v>
      </c>
      <c r="C129" s="9" t="s">
        <v>114</v>
      </c>
      <c r="D129" s="9" t="s">
        <v>308</v>
      </c>
      <c r="E129" s="9" t="s">
        <v>309</v>
      </c>
      <c r="F129" s="9" t="s">
        <v>117</v>
      </c>
      <c r="G129" s="9" t="s">
        <v>69</v>
      </c>
      <c r="H129" s="9" t="s">
        <v>320</v>
      </c>
      <c r="I129" s="9" t="s">
        <v>140</v>
      </c>
      <c r="J129" s="9" t="s">
        <v>316</v>
      </c>
      <c r="K129" s="9" t="s">
        <v>312</v>
      </c>
      <c r="L129" s="10" t="n">
        <v>114</v>
      </c>
      <c r="M129" s="11" t="n">
        <v>13</v>
      </c>
      <c r="N129" s="11" t="n">
        <v>18</v>
      </c>
      <c r="O129" s="12" t="s">
        <v>313</v>
      </c>
      <c r="P129" s="12" t="s">
        <v>314</v>
      </c>
      <c r="Q129" s="12" t="s">
        <v>84</v>
      </c>
      <c r="R129" s="12" t="s">
        <v>85</v>
      </c>
      <c r="S129" s="1"/>
      <c r="T129" s="1"/>
    </row>
    <row r="130" customFormat="false" ht="15" hidden="false" customHeight="false" outlineLevel="0" collapsed="false">
      <c r="A130" s="1"/>
      <c r="B130" s="9" t="s">
        <v>322</v>
      </c>
      <c r="C130" s="9" t="s">
        <v>114</v>
      </c>
      <c r="D130" s="9" t="s">
        <v>308</v>
      </c>
      <c r="E130" s="9" t="s">
        <v>309</v>
      </c>
      <c r="F130" s="9" t="s">
        <v>117</v>
      </c>
      <c r="G130" s="9" t="s">
        <v>69</v>
      </c>
      <c r="H130" s="9" t="s">
        <v>190</v>
      </c>
      <c r="I130" s="9" t="s">
        <v>191</v>
      </c>
      <c r="J130" s="9" t="s">
        <v>316</v>
      </c>
      <c r="K130" s="9" t="s">
        <v>312</v>
      </c>
      <c r="L130" s="10" t="n">
        <v>114</v>
      </c>
      <c r="M130" s="11" t="n">
        <v>12</v>
      </c>
      <c r="N130" s="11" t="n">
        <v>18</v>
      </c>
      <c r="O130" s="12" t="s">
        <v>313</v>
      </c>
      <c r="P130" s="12" t="s">
        <v>314</v>
      </c>
      <c r="Q130" s="12" t="s">
        <v>84</v>
      </c>
      <c r="R130" s="12" t="s">
        <v>85</v>
      </c>
      <c r="S130" s="1"/>
      <c r="T130" s="1"/>
    </row>
    <row r="131" customFormat="false" ht="15" hidden="false" customHeight="false" outlineLevel="0" collapsed="false">
      <c r="A131" s="1"/>
      <c r="B131" s="9" t="s">
        <v>323</v>
      </c>
      <c r="C131" s="9" t="s">
        <v>114</v>
      </c>
      <c r="D131" s="9" t="s">
        <v>308</v>
      </c>
      <c r="E131" s="9" t="s">
        <v>309</v>
      </c>
      <c r="F131" s="9" t="s">
        <v>117</v>
      </c>
      <c r="G131" s="9" t="s">
        <v>69</v>
      </c>
      <c r="H131" s="9" t="s">
        <v>324</v>
      </c>
      <c r="I131" s="9" t="s">
        <v>143</v>
      </c>
      <c r="J131" s="9" t="s">
        <v>316</v>
      </c>
      <c r="K131" s="9" t="s">
        <v>312</v>
      </c>
      <c r="L131" s="10" t="n">
        <v>114</v>
      </c>
      <c r="M131" s="11" t="n">
        <v>0</v>
      </c>
      <c r="N131" s="11" t="n">
        <v>18</v>
      </c>
      <c r="O131" s="12" t="s">
        <v>313</v>
      </c>
      <c r="P131" s="12" t="s">
        <v>314</v>
      </c>
      <c r="Q131" s="12" t="s">
        <v>84</v>
      </c>
      <c r="R131" s="12" t="s">
        <v>85</v>
      </c>
      <c r="S131" s="1"/>
      <c r="T131" s="1"/>
    </row>
    <row r="132" customFormat="false" ht="15" hidden="false" customHeight="false" outlineLevel="0" collapsed="false">
      <c r="A132" s="1"/>
      <c r="B132" s="9" t="s">
        <v>325</v>
      </c>
      <c r="C132" s="9" t="s">
        <v>114</v>
      </c>
      <c r="D132" s="9" t="s">
        <v>308</v>
      </c>
      <c r="E132" s="9" t="s">
        <v>309</v>
      </c>
      <c r="F132" s="9" t="s">
        <v>117</v>
      </c>
      <c r="G132" s="9" t="s">
        <v>69</v>
      </c>
      <c r="H132" s="9"/>
      <c r="I132" s="9"/>
      <c r="J132" s="9"/>
      <c r="K132" s="9"/>
      <c r="L132" s="10" t="n">
        <v>0</v>
      </c>
      <c r="M132" s="11" t="n">
        <v>0</v>
      </c>
      <c r="N132" s="11" t="n">
        <v>0</v>
      </c>
      <c r="O132" s="12" t="s">
        <v>313</v>
      </c>
      <c r="P132" s="12" t="s">
        <v>314</v>
      </c>
      <c r="Q132" s="12" t="s">
        <v>75</v>
      </c>
      <c r="R132" s="12" t="s">
        <v>161</v>
      </c>
      <c r="S132" s="1"/>
      <c r="T132" s="1"/>
    </row>
    <row r="133" customFormat="false" ht="15" hidden="false" customHeight="false" outlineLevel="0" collapsed="false">
      <c r="A133" s="1"/>
      <c r="B133" s="9" t="s">
        <v>326</v>
      </c>
      <c r="C133" s="9" t="s">
        <v>114</v>
      </c>
      <c r="D133" s="9" t="s">
        <v>327</v>
      </c>
      <c r="E133" s="9" t="s">
        <v>328</v>
      </c>
      <c r="F133" s="9" t="s">
        <v>117</v>
      </c>
      <c r="G133" s="9" t="s">
        <v>138</v>
      </c>
      <c r="H133" s="9" t="s">
        <v>324</v>
      </c>
      <c r="I133" s="9" t="s">
        <v>153</v>
      </c>
      <c r="J133" s="9" t="s">
        <v>311</v>
      </c>
      <c r="K133" s="9" t="s">
        <v>312</v>
      </c>
      <c r="L133" s="10" t="n">
        <v>122</v>
      </c>
      <c r="M133" s="11" t="n">
        <v>0</v>
      </c>
      <c r="N133" s="11" t="n">
        <v>0</v>
      </c>
      <c r="O133" s="12" t="s">
        <v>329</v>
      </c>
      <c r="P133" s="12" t="s">
        <v>314</v>
      </c>
      <c r="Q133" s="12" t="s">
        <v>84</v>
      </c>
      <c r="R133" s="12" t="s">
        <v>85</v>
      </c>
      <c r="S133" s="1"/>
      <c r="T133" s="1"/>
    </row>
    <row r="134" customFormat="false" ht="15" hidden="false" customHeight="false" outlineLevel="0" collapsed="false">
      <c r="A134" s="1"/>
      <c r="B134" s="9" t="s">
        <v>330</v>
      </c>
      <c r="C134" s="9" t="s">
        <v>114</v>
      </c>
      <c r="D134" s="9" t="s">
        <v>327</v>
      </c>
      <c r="E134" s="9" t="s">
        <v>328</v>
      </c>
      <c r="F134" s="9" t="s">
        <v>117</v>
      </c>
      <c r="G134" s="9" t="s">
        <v>69</v>
      </c>
      <c r="H134" s="9" t="s">
        <v>253</v>
      </c>
      <c r="I134" s="9" t="s">
        <v>153</v>
      </c>
      <c r="J134" s="9" t="s">
        <v>316</v>
      </c>
      <c r="K134" s="9" t="s">
        <v>312</v>
      </c>
      <c r="L134" s="10" t="n">
        <v>122</v>
      </c>
      <c r="M134" s="11" t="n">
        <v>0</v>
      </c>
      <c r="N134" s="11" t="n">
        <v>0</v>
      </c>
      <c r="O134" s="12" t="s">
        <v>329</v>
      </c>
      <c r="P134" s="12" t="s">
        <v>314</v>
      </c>
      <c r="Q134" s="12" t="s">
        <v>84</v>
      </c>
      <c r="R134" s="12" t="s">
        <v>85</v>
      </c>
      <c r="S134" s="1"/>
      <c r="T134" s="1"/>
    </row>
    <row r="135" customFormat="false" ht="15" hidden="false" customHeight="false" outlineLevel="0" collapsed="false">
      <c r="A135" s="1"/>
      <c r="B135" s="9" t="s">
        <v>331</v>
      </c>
      <c r="C135" s="9" t="s">
        <v>114</v>
      </c>
      <c r="D135" s="9" t="s">
        <v>327</v>
      </c>
      <c r="E135" s="9" t="s">
        <v>328</v>
      </c>
      <c r="F135" s="9" t="s">
        <v>117</v>
      </c>
      <c r="G135" s="9" t="s">
        <v>69</v>
      </c>
      <c r="H135" s="9"/>
      <c r="I135" s="9"/>
      <c r="J135" s="9"/>
      <c r="K135" s="9"/>
      <c r="L135" s="10" t="n">
        <v>0</v>
      </c>
      <c r="M135" s="11" t="n">
        <v>0</v>
      </c>
      <c r="N135" s="11" t="n">
        <v>0</v>
      </c>
      <c r="O135" s="12" t="s">
        <v>329</v>
      </c>
      <c r="P135" s="12" t="s">
        <v>314</v>
      </c>
      <c r="Q135" s="12" t="s">
        <v>75</v>
      </c>
      <c r="R135" s="12" t="s">
        <v>161</v>
      </c>
      <c r="S135" s="1"/>
      <c r="T135" s="1"/>
    </row>
    <row r="136" customFormat="false" ht="15" hidden="false" customHeight="false" outlineLevel="0" collapsed="false">
      <c r="A136" s="1"/>
      <c r="B136" s="9" t="s">
        <v>332</v>
      </c>
      <c r="C136" s="9" t="s">
        <v>114</v>
      </c>
      <c r="D136" s="9" t="s">
        <v>327</v>
      </c>
      <c r="E136" s="9" t="s">
        <v>328</v>
      </c>
      <c r="F136" s="9" t="s">
        <v>117</v>
      </c>
      <c r="G136" s="9" t="s">
        <v>69</v>
      </c>
      <c r="H136" s="9" t="s">
        <v>190</v>
      </c>
      <c r="I136" s="9" t="s">
        <v>147</v>
      </c>
      <c r="J136" s="9" t="s">
        <v>311</v>
      </c>
      <c r="K136" s="9" t="s">
        <v>312</v>
      </c>
      <c r="L136" s="10" t="n">
        <v>122</v>
      </c>
      <c r="M136" s="11" t="n">
        <v>2</v>
      </c>
      <c r="N136" s="11" t="n">
        <v>6</v>
      </c>
      <c r="O136" s="12" t="s">
        <v>329</v>
      </c>
      <c r="P136" s="12" t="s">
        <v>314</v>
      </c>
      <c r="Q136" s="12" t="s">
        <v>84</v>
      </c>
      <c r="R136" s="12" t="s">
        <v>85</v>
      </c>
      <c r="S136" s="1"/>
      <c r="T136" s="1"/>
    </row>
    <row r="137" customFormat="false" ht="15" hidden="false" customHeight="false" outlineLevel="0" collapsed="false">
      <c r="A137" s="1"/>
      <c r="B137" s="9" t="s">
        <v>333</v>
      </c>
      <c r="C137" s="9" t="s">
        <v>114</v>
      </c>
      <c r="D137" s="9" t="s">
        <v>327</v>
      </c>
      <c r="E137" s="9" t="s">
        <v>328</v>
      </c>
      <c r="F137" s="9" t="s">
        <v>117</v>
      </c>
      <c r="G137" s="9" t="s">
        <v>69</v>
      </c>
      <c r="H137" s="9" t="s">
        <v>324</v>
      </c>
      <c r="I137" s="9" t="s">
        <v>147</v>
      </c>
      <c r="J137" s="9" t="s">
        <v>316</v>
      </c>
      <c r="K137" s="9" t="s">
        <v>312</v>
      </c>
      <c r="L137" s="10" t="n">
        <v>122</v>
      </c>
      <c r="M137" s="11" t="n">
        <v>5</v>
      </c>
      <c r="N137" s="11" t="n">
        <v>6</v>
      </c>
      <c r="O137" s="12" t="s">
        <v>329</v>
      </c>
      <c r="P137" s="12" t="s">
        <v>314</v>
      </c>
      <c r="Q137" s="12" t="s">
        <v>84</v>
      </c>
      <c r="R137" s="12" t="s">
        <v>85</v>
      </c>
      <c r="S137" s="1"/>
      <c r="T137" s="1"/>
    </row>
    <row r="138" customFormat="false" ht="15" hidden="false" customHeight="false" outlineLevel="0" collapsed="false">
      <c r="A138" s="1"/>
      <c r="B138" s="9" t="s">
        <v>334</v>
      </c>
      <c r="C138" s="9" t="s">
        <v>114</v>
      </c>
      <c r="D138" s="9" t="s">
        <v>327</v>
      </c>
      <c r="E138" s="9" t="s">
        <v>328</v>
      </c>
      <c r="F138" s="9" t="s">
        <v>117</v>
      </c>
      <c r="G138" s="9" t="s">
        <v>69</v>
      </c>
      <c r="H138" s="9" t="s">
        <v>335</v>
      </c>
      <c r="I138" s="9" t="s">
        <v>183</v>
      </c>
      <c r="J138" s="9" t="s">
        <v>311</v>
      </c>
      <c r="K138" s="9" t="s">
        <v>312</v>
      </c>
      <c r="L138" s="10" t="n">
        <v>122</v>
      </c>
      <c r="M138" s="11" t="n">
        <v>6</v>
      </c>
      <c r="N138" s="11" t="n">
        <v>6</v>
      </c>
      <c r="O138" s="12" t="s">
        <v>329</v>
      </c>
      <c r="P138" s="12" t="s">
        <v>314</v>
      </c>
      <c r="Q138" s="12" t="s">
        <v>84</v>
      </c>
      <c r="R138" s="12" t="s">
        <v>85</v>
      </c>
      <c r="S138" s="1"/>
      <c r="T138" s="1"/>
    </row>
    <row r="139" customFormat="false" ht="15" hidden="false" customHeight="false" outlineLevel="0" collapsed="false">
      <c r="A139" s="1"/>
      <c r="B139" s="9" t="s">
        <v>336</v>
      </c>
      <c r="C139" s="9" t="s">
        <v>114</v>
      </c>
      <c r="D139" s="9" t="s">
        <v>327</v>
      </c>
      <c r="E139" s="9" t="s">
        <v>328</v>
      </c>
      <c r="F139" s="9" t="s">
        <v>117</v>
      </c>
      <c r="G139" s="9" t="s">
        <v>69</v>
      </c>
      <c r="H139" s="9" t="s">
        <v>335</v>
      </c>
      <c r="I139" s="9" t="s">
        <v>183</v>
      </c>
      <c r="J139" s="9" t="s">
        <v>316</v>
      </c>
      <c r="K139" s="9" t="s">
        <v>312</v>
      </c>
      <c r="L139" s="10" t="n">
        <v>122</v>
      </c>
      <c r="M139" s="11" t="n">
        <v>6</v>
      </c>
      <c r="N139" s="11" t="n">
        <v>6</v>
      </c>
      <c r="O139" s="12" t="s">
        <v>329</v>
      </c>
      <c r="P139" s="12" t="s">
        <v>314</v>
      </c>
      <c r="Q139" s="12" t="s">
        <v>84</v>
      </c>
      <c r="R139" s="12" t="s">
        <v>85</v>
      </c>
      <c r="S139" s="1"/>
      <c r="T139" s="1"/>
    </row>
    <row r="140" customFormat="false" ht="15" hidden="false" customHeight="false" outlineLevel="0" collapsed="false">
      <c r="A140" s="1"/>
      <c r="B140" s="9" t="s">
        <v>337</v>
      </c>
      <c r="C140" s="9" t="s">
        <v>114</v>
      </c>
      <c r="D140" s="9" t="s">
        <v>327</v>
      </c>
      <c r="E140" s="9" t="s">
        <v>328</v>
      </c>
      <c r="F140" s="9" t="s">
        <v>117</v>
      </c>
      <c r="G140" s="9" t="s">
        <v>69</v>
      </c>
      <c r="H140" s="9" t="s">
        <v>338</v>
      </c>
      <c r="I140" s="9" t="s">
        <v>140</v>
      </c>
      <c r="J140" s="9" t="s">
        <v>311</v>
      </c>
      <c r="K140" s="9" t="s">
        <v>312</v>
      </c>
      <c r="L140" s="10" t="n">
        <v>122</v>
      </c>
      <c r="M140" s="11" t="n">
        <v>1</v>
      </c>
      <c r="N140" s="11" t="n">
        <v>6</v>
      </c>
      <c r="O140" s="12" t="s">
        <v>329</v>
      </c>
      <c r="P140" s="12" t="s">
        <v>314</v>
      </c>
      <c r="Q140" s="12" t="s">
        <v>84</v>
      </c>
      <c r="R140" s="12" t="s">
        <v>85</v>
      </c>
      <c r="S140" s="1"/>
      <c r="T140" s="1"/>
    </row>
    <row r="141" customFormat="false" ht="15" hidden="false" customHeight="false" outlineLevel="0" collapsed="false">
      <c r="A141" s="1"/>
      <c r="B141" s="9" t="s">
        <v>339</v>
      </c>
      <c r="C141" s="9" t="s">
        <v>114</v>
      </c>
      <c r="D141" s="9" t="s">
        <v>327</v>
      </c>
      <c r="E141" s="9" t="s">
        <v>328</v>
      </c>
      <c r="F141" s="9" t="s">
        <v>117</v>
      </c>
      <c r="G141" s="9" t="s">
        <v>69</v>
      </c>
      <c r="H141" s="9" t="s">
        <v>338</v>
      </c>
      <c r="I141" s="9" t="s">
        <v>140</v>
      </c>
      <c r="J141" s="9" t="s">
        <v>316</v>
      </c>
      <c r="K141" s="9" t="s">
        <v>312</v>
      </c>
      <c r="L141" s="10" t="n">
        <v>122</v>
      </c>
      <c r="M141" s="11" t="n">
        <v>6</v>
      </c>
      <c r="N141" s="11" t="n">
        <v>6</v>
      </c>
      <c r="O141" s="12" t="s">
        <v>329</v>
      </c>
      <c r="P141" s="12" t="s">
        <v>314</v>
      </c>
      <c r="Q141" s="12" t="s">
        <v>84</v>
      </c>
      <c r="R141" s="12" t="s">
        <v>85</v>
      </c>
      <c r="S141" s="1"/>
      <c r="T141" s="1"/>
    </row>
    <row r="142" customFormat="false" ht="15" hidden="false" customHeight="false" outlineLevel="0" collapsed="false">
      <c r="A142" s="1"/>
      <c r="B142" s="9" t="s">
        <v>340</v>
      </c>
      <c r="C142" s="9" t="s">
        <v>114</v>
      </c>
      <c r="D142" s="9" t="s">
        <v>327</v>
      </c>
      <c r="E142" s="9" t="s">
        <v>328</v>
      </c>
      <c r="F142" s="9" t="s">
        <v>117</v>
      </c>
      <c r="G142" s="9" t="s">
        <v>69</v>
      </c>
      <c r="H142" s="9" t="s">
        <v>190</v>
      </c>
      <c r="I142" s="9" t="s">
        <v>191</v>
      </c>
      <c r="J142" s="9" t="s">
        <v>311</v>
      </c>
      <c r="K142" s="9" t="s">
        <v>312</v>
      </c>
      <c r="L142" s="10" t="n">
        <v>122</v>
      </c>
      <c r="M142" s="11" t="n">
        <v>4</v>
      </c>
      <c r="N142" s="11" t="n">
        <v>6</v>
      </c>
      <c r="O142" s="12" t="s">
        <v>329</v>
      </c>
      <c r="P142" s="12" t="s">
        <v>314</v>
      </c>
      <c r="Q142" s="12" t="s">
        <v>84</v>
      </c>
      <c r="R142" s="12" t="s">
        <v>85</v>
      </c>
      <c r="S142" s="1"/>
      <c r="T142" s="1"/>
    </row>
    <row r="143" customFormat="false" ht="15" hidden="false" customHeight="false" outlineLevel="0" collapsed="false">
      <c r="A143" s="1"/>
      <c r="B143" s="9" t="s">
        <v>340</v>
      </c>
      <c r="C143" s="9" t="s">
        <v>114</v>
      </c>
      <c r="D143" s="9" t="s">
        <v>327</v>
      </c>
      <c r="E143" s="9" t="s">
        <v>328</v>
      </c>
      <c r="F143" s="9" t="s">
        <v>117</v>
      </c>
      <c r="G143" s="9" t="s">
        <v>69</v>
      </c>
      <c r="H143" s="9" t="s">
        <v>338</v>
      </c>
      <c r="I143" s="9" t="s">
        <v>191</v>
      </c>
      <c r="J143" s="9" t="s">
        <v>311</v>
      </c>
      <c r="K143" s="9" t="s">
        <v>312</v>
      </c>
      <c r="L143" s="10" t="n">
        <v>122</v>
      </c>
      <c r="M143" s="11" t="n">
        <v>5</v>
      </c>
      <c r="N143" s="11" t="n">
        <v>6</v>
      </c>
      <c r="O143" s="12" t="s">
        <v>329</v>
      </c>
      <c r="P143" s="12" t="s">
        <v>314</v>
      </c>
      <c r="Q143" s="12" t="s">
        <v>84</v>
      </c>
      <c r="R143" s="12" t="s">
        <v>85</v>
      </c>
      <c r="S143" s="1"/>
      <c r="T143" s="1"/>
    </row>
    <row r="144" customFormat="false" ht="15" hidden="false" customHeight="false" outlineLevel="0" collapsed="false">
      <c r="A144" s="1"/>
      <c r="B144" s="9" t="s">
        <v>341</v>
      </c>
      <c r="C144" s="9" t="s">
        <v>114</v>
      </c>
      <c r="D144" s="9" t="s">
        <v>327</v>
      </c>
      <c r="E144" s="9" t="s">
        <v>328</v>
      </c>
      <c r="F144" s="9" t="s">
        <v>117</v>
      </c>
      <c r="G144" s="9" t="s">
        <v>69</v>
      </c>
      <c r="H144" s="9" t="s">
        <v>342</v>
      </c>
      <c r="I144" s="9" t="s">
        <v>191</v>
      </c>
      <c r="J144" s="9" t="s">
        <v>316</v>
      </c>
      <c r="K144" s="9" t="s">
        <v>312</v>
      </c>
      <c r="L144" s="10" t="n">
        <v>122</v>
      </c>
      <c r="M144" s="11" t="n">
        <v>4</v>
      </c>
      <c r="N144" s="11" t="n">
        <v>6</v>
      </c>
      <c r="O144" s="12" t="s">
        <v>329</v>
      </c>
      <c r="P144" s="12" t="s">
        <v>314</v>
      </c>
      <c r="Q144" s="12" t="s">
        <v>84</v>
      </c>
      <c r="R144" s="12" t="s">
        <v>85</v>
      </c>
      <c r="S144" s="1"/>
      <c r="T144" s="1"/>
    </row>
    <row r="145" customFormat="false" ht="15" hidden="false" customHeight="false" outlineLevel="0" collapsed="false">
      <c r="A145" s="1"/>
      <c r="B145" s="9" t="s">
        <v>343</v>
      </c>
      <c r="C145" s="9" t="s">
        <v>114</v>
      </c>
      <c r="D145" s="9" t="s">
        <v>327</v>
      </c>
      <c r="E145" s="9" t="s">
        <v>328</v>
      </c>
      <c r="F145" s="9" t="s">
        <v>117</v>
      </c>
      <c r="G145" s="9" t="s">
        <v>69</v>
      </c>
      <c r="H145" s="9" t="s">
        <v>342</v>
      </c>
      <c r="I145" s="9" t="s">
        <v>143</v>
      </c>
      <c r="J145" s="9" t="s">
        <v>316</v>
      </c>
      <c r="K145" s="9" t="s">
        <v>312</v>
      </c>
      <c r="L145" s="10" t="n">
        <v>122</v>
      </c>
      <c r="M145" s="11" t="n">
        <v>5</v>
      </c>
      <c r="N145" s="11" t="n">
        <v>6</v>
      </c>
      <c r="O145" s="12" t="s">
        <v>329</v>
      </c>
      <c r="P145" s="12" t="s">
        <v>314</v>
      </c>
      <c r="Q145" s="12" t="s">
        <v>84</v>
      </c>
      <c r="R145" s="12" t="s">
        <v>85</v>
      </c>
      <c r="S145" s="1"/>
      <c r="T145" s="1"/>
    </row>
    <row r="146" customFormat="false" ht="15" hidden="false" customHeight="false" outlineLevel="0" collapsed="false">
      <c r="A146" s="1"/>
      <c r="B146" s="9" t="s">
        <v>344</v>
      </c>
      <c r="C146" s="9" t="s">
        <v>114</v>
      </c>
      <c r="D146" s="9" t="s">
        <v>327</v>
      </c>
      <c r="E146" s="9" t="s">
        <v>328</v>
      </c>
      <c r="F146" s="9" t="s">
        <v>117</v>
      </c>
      <c r="G146" s="9" t="s">
        <v>69</v>
      </c>
      <c r="H146" s="9"/>
      <c r="I146" s="9"/>
      <c r="J146" s="9"/>
      <c r="K146" s="9"/>
      <c r="L146" s="10" t="n">
        <v>0</v>
      </c>
      <c r="M146" s="11" t="n">
        <v>0</v>
      </c>
      <c r="N146" s="11" t="n">
        <v>0</v>
      </c>
      <c r="O146" s="12" t="s">
        <v>329</v>
      </c>
      <c r="P146" s="12" t="s">
        <v>314</v>
      </c>
      <c r="Q146" s="12" t="s">
        <v>75</v>
      </c>
      <c r="R146" s="12" t="s">
        <v>161</v>
      </c>
      <c r="S146" s="1"/>
      <c r="T146" s="1"/>
    </row>
    <row r="147" customFormat="false" ht="15" hidden="false" customHeight="false" outlineLevel="0" collapsed="false">
      <c r="A147" s="1"/>
      <c r="B147" s="9" t="s">
        <v>345</v>
      </c>
      <c r="C147" s="9" t="s">
        <v>114</v>
      </c>
      <c r="D147" s="9" t="s">
        <v>327</v>
      </c>
      <c r="E147" s="9" t="s">
        <v>346</v>
      </c>
      <c r="F147" s="9" t="s">
        <v>117</v>
      </c>
      <c r="G147" s="9" t="s">
        <v>69</v>
      </c>
      <c r="H147" s="9" t="s">
        <v>302</v>
      </c>
      <c r="I147" s="9" t="s">
        <v>153</v>
      </c>
      <c r="J147" s="9" t="s">
        <v>311</v>
      </c>
      <c r="K147" s="9" t="s">
        <v>312</v>
      </c>
      <c r="L147" s="10" t="n">
        <v>122</v>
      </c>
      <c r="M147" s="11" t="n">
        <v>0</v>
      </c>
      <c r="N147" s="11" t="n">
        <v>0</v>
      </c>
      <c r="O147" s="12" t="s">
        <v>329</v>
      </c>
      <c r="P147" s="12" t="s">
        <v>314</v>
      </c>
      <c r="Q147" s="12" t="s">
        <v>84</v>
      </c>
      <c r="R147" s="12" t="s">
        <v>85</v>
      </c>
      <c r="S147" s="1"/>
      <c r="T147" s="1"/>
    </row>
    <row r="148" customFormat="false" ht="15" hidden="false" customHeight="false" outlineLevel="0" collapsed="false">
      <c r="A148" s="1"/>
      <c r="B148" s="9" t="s">
        <v>347</v>
      </c>
      <c r="C148" s="9" t="s">
        <v>114</v>
      </c>
      <c r="D148" s="9" t="s">
        <v>327</v>
      </c>
      <c r="E148" s="9" t="s">
        <v>346</v>
      </c>
      <c r="F148" s="9" t="s">
        <v>117</v>
      </c>
      <c r="G148" s="9" t="s">
        <v>69</v>
      </c>
      <c r="H148" s="9"/>
      <c r="I148" s="9"/>
      <c r="J148" s="9"/>
      <c r="K148" s="9"/>
      <c r="L148" s="10" t="n">
        <v>0</v>
      </c>
      <c r="M148" s="11" t="n">
        <v>0</v>
      </c>
      <c r="N148" s="11" t="n">
        <v>0</v>
      </c>
      <c r="O148" s="12" t="s">
        <v>329</v>
      </c>
      <c r="P148" s="12" t="s">
        <v>314</v>
      </c>
      <c r="Q148" s="12" t="s">
        <v>75</v>
      </c>
      <c r="R148" s="12" t="s">
        <v>161</v>
      </c>
      <c r="S148" s="1"/>
      <c r="T148" s="1"/>
    </row>
    <row r="149" customFormat="false" ht="15" hidden="false" customHeight="false" outlineLevel="0" collapsed="false">
      <c r="A149" s="1"/>
      <c r="B149" s="9" t="s">
        <v>348</v>
      </c>
      <c r="C149" s="9" t="s">
        <v>114</v>
      </c>
      <c r="D149" s="9" t="s">
        <v>327</v>
      </c>
      <c r="E149" s="9" t="s">
        <v>346</v>
      </c>
      <c r="F149" s="9" t="s">
        <v>117</v>
      </c>
      <c r="G149" s="9" t="s">
        <v>69</v>
      </c>
      <c r="H149" s="9" t="s">
        <v>324</v>
      </c>
      <c r="I149" s="9" t="s">
        <v>147</v>
      </c>
      <c r="J149" s="9" t="s">
        <v>311</v>
      </c>
      <c r="K149" s="9" t="s">
        <v>312</v>
      </c>
      <c r="L149" s="10" t="n">
        <v>122</v>
      </c>
      <c r="M149" s="11" t="n">
        <v>6</v>
      </c>
      <c r="N149" s="11" t="n">
        <v>7</v>
      </c>
      <c r="O149" s="12" t="s">
        <v>329</v>
      </c>
      <c r="P149" s="12" t="s">
        <v>314</v>
      </c>
      <c r="Q149" s="12" t="s">
        <v>84</v>
      </c>
      <c r="R149" s="12" t="s">
        <v>85</v>
      </c>
      <c r="S149" s="1"/>
      <c r="T149" s="1"/>
    </row>
    <row r="150" customFormat="false" ht="15" hidden="false" customHeight="false" outlineLevel="0" collapsed="false">
      <c r="A150" s="1"/>
      <c r="B150" s="9" t="s">
        <v>349</v>
      </c>
      <c r="C150" s="9" t="s">
        <v>114</v>
      </c>
      <c r="D150" s="9" t="s">
        <v>327</v>
      </c>
      <c r="E150" s="9" t="s">
        <v>346</v>
      </c>
      <c r="F150" s="9" t="s">
        <v>117</v>
      </c>
      <c r="G150" s="9" t="s">
        <v>350</v>
      </c>
      <c r="H150" s="9" t="s">
        <v>253</v>
      </c>
      <c r="I150" s="9" t="s">
        <v>147</v>
      </c>
      <c r="J150" s="9" t="s">
        <v>105</v>
      </c>
      <c r="K150" s="9" t="s">
        <v>312</v>
      </c>
      <c r="L150" s="10" t="n">
        <v>122</v>
      </c>
      <c r="M150" s="11" t="n">
        <v>0</v>
      </c>
      <c r="N150" s="11" t="n">
        <v>0</v>
      </c>
      <c r="O150" s="12" t="s">
        <v>329</v>
      </c>
      <c r="P150" s="12" t="s">
        <v>314</v>
      </c>
      <c r="Q150" s="12" t="s">
        <v>84</v>
      </c>
      <c r="R150" s="12" t="s">
        <v>85</v>
      </c>
      <c r="S150" s="1"/>
      <c r="T150" s="1"/>
    </row>
    <row r="151" customFormat="false" ht="15" hidden="false" customHeight="false" outlineLevel="0" collapsed="false">
      <c r="A151" s="1"/>
      <c r="B151" s="9" t="s">
        <v>351</v>
      </c>
      <c r="C151" s="9" t="s">
        <v>114</v>
      </c>
      <c r="D151" s="9" t="s">
        <v>327</v>
      </c>
      <c r="E151" s="9" t="s">
        <v>346</v>
      </c>
      <c r="F151" s="9" t="s">
        <v>117</v>
      </c>
      <c r="G151" s="9" t="s">
        <v>69</v>
      </c>
      <c r="H151" s="9" t="s">
        <v>179</v>
      </c>
      <c r="I151" s="9" t="s">
        <v>147</v>
      </c>
      <c r="J151" s="9" t="s">
        <v>158</v>
      </c>
      <c r="K151" s="9" t="s">
        <v>312</v>
      </c>
      <c r="L151" s="10" t="n">
        <v>122</v>
      </c>
      <c r="M151" s="11" t="n">
        <v>7</v>
      </c>
      <c r="N151" s="11" t="n">
        <v>7</v>
      </c>
      <c r="O151" s="12" t="s">
        <v>329</v>
      </c>
      <c r="P151" s="12" t="s">
        <v>314</v>
      </c>
      <c r="Q151" s="12" t="s">
        <v>84</v>
      </c>
      <c r="R151" s="12" t="s">
        <v>85</v>
      </c>
      <c r="S151" s="1"/>
      <c r="T151" s="1"/>
    </row>
    <row r="152" customFormat="false" ht="15" hidden="false" customHeight="false" outlineLevel="0" collapsed="false">
      <c r="A152" s="1"/>
      <c r="B152" s="9" t="s">
        <v>352</v>
      </c>
      <c r="C152" s="9" t="s">
        <v>114</v>
      </c>
      <c r="D152" s="9" t="s">
        <v>327</v>
      </c>
      <c r="E152" s="9" t="s">
        <v>346</v>
      </c>
      <c r="F152" s="9" t="s">
        <v>117</v>
      </c>
      <c r="G152" s="9" t="s">
        <v>69</v>
      </c>
      <c r="H152" s="9" t="s">
        <v>190</v>
      </c>
      <c r="I152" s="9" t="s">
        <v>147</v>
      </c>
      <c r="J152" s="9" t="s">
        <v>316</v>
      </c>
      <c r="K152" s="9" t="s">
        <v>312</v>
      </c>
      <c r="L152" s="10" t="n">
        <v>122</v>
      </c>
      <c r="M152" s="11" t="n">
        <v>5</v>
      </c>
      <c r="N152" s="11" t="n">
        <v>7</v>
      </c>
      <c r="O152" s="12" t="s">
        <v>329</v>
      </c>
      <c r="P152" s="12" t="s">
        <v>314</v>
      </c>
      <c r="Q152" s="12" t="s">
        <v>84</v>
      </c>
      <c r="R152" s="12" t="s">
        <v>85</v>
      </c>
      <c r="S152" s="1"/>
      <c r="T152" s="1"/>
    </row>
    <row r="153" customFormat="false" ht="15" hidden="false" customHeight="false" outlineLevel="0" collapsed="false">
      <c r="A153" s="1"/>
      <c r="B153" s="9" t="s">
        <v>353</v>
      </c>
      <c r="C153" s="9" t="s">
        <v>114</v>
      </c>
      <c r="D153" s="9" t="s">
        <v>327</v>
      </c>
      <c r="E153" s="9" t="s">
        <v>346</v>
      </c>
      <c r="F153" s="9" t="s">
        <v>117</v>
      </c>
      <c r="G153" s="9" t="s">
        <v>69</v>
      </c>
      <c r="H153" s="9" t="s">
        <v>190</v>
      </c>
      <c r="I153" s="9" t="s">
        <v>183</v>
      </c>
      <c r="J153" s="9" t="s">
        <v>311</v>
      </c>
      <c r="K153" s="9" t="s">
        <v>312</v>
      </c>
      <c r="L153" s="10" t="n">
        <v>122</v>
      </c>
      <c r="M153" s="11" t="n">
        <v>7</v>
      </c>
      <c r="N153" s="11" t="n">
        <v>7</v>
      </c>
      <c r="O153" s="12" t="s">
        <v>329</v>
      </c>
      <c r="P153" s="12" t="s">
        <v>314</v>
      </c>
      <c r="Q153" s="12" t="s">
        <v>84</v>
      </c>
      <c r="R153" s="12" t="s">
        <v>85</v>
      </c>
      <c r="S153" s="1"/>
      <c r="T153" s="1"/>
    </row>
    <row r="154" customFormat="false" ht="15" hidden="false" customHeight="false" outlineLevel="0" collapsed="false">
      <c r="A154" s="1"/>
      <c r="B154" s="9" t="s">
        <v>354</v>
      </c>
      <c r="C154" s="9" t="s">
        <v>114</v>
      </c>
      <c r="D154" s="9" t="s">
        <v>327</v>
      </c>
      <c r="E154" s="9" t="s">
        <v>346</v>
      </c>
      <c r="F154" s="9" t="s">
        <v>117</v>
      </c>
      <c r="G154" s="9" t="s">
        <v>69</v>
      </c>
      <c r="H154" s="9" t="s">
        <v>190</v>
      </c>
      <c r="I154" s="9" t="s">
        <v>183</v>
      </c>
      <c r="J154" s="9" t="s">
        <v>316</v>
      </c>
      <c r="K154" s="9" t="s">
        <v>312</v>
      </c>
      <c r="L154" s="10" t="n">
        <v>122</v>
      </c>
      <c r="M154" s="11" t="n">
        <v>7</v>
      </c>
      <c r="N154" s="11" t="n">
        <v>7</v>
      </c>
      <c r="O154" s="12" t="s">
        <v>329</v>
      </c>
      <c r="P154" s="12" t="s">
        <v>314</v>
      </c>
      <c r="Q154" s="12" t="s">
        <v>84</v>
      </c>
      <c r="R154" s="12" t="s">
        <v>85</v>
      </c>
      <c r="S154" s="1"/>
      <c r="T154" s="1"/>
    </row>
    <row r="155" customFormat="false" ht="15" hidden="false" customHeight="false" outlineLevel="0" collapsed="false">
      <c r="A155" s="1"/>
      <c r="B155" s="9" t="s">
        <v>355</v>
      </c>
      <c r="C155" s="9" t="s">
        <v>114</v>
      </c>
      <c r="D155" s="9" t="s">
        <v>327</v>
      </c>
      <c r="E155" s="9" t="s">
        <v>346</v>
      </c>
      <c r="F155" s="9" t="s">
        <v>117</v>
      </c>
      <c r="G155" s="9" t="s">
        <v>69</v>
      </c>
      <c r="H155" s="9" t="s">
        <v>243</v>
      </c>
      <c r="I155" s="9" t="s">
        <v>168</v>
      </c>
      <c r="J155" s="9" t="s">
        <v>356</v>
      </c>
      <c r="K155" s="9" t="s">
        <v>312</v>
      </c>
      <c r="L155" s="10" t="n">
        <v>122</v>
      </c>
      <c r="M155" s="11" t="n">
        <v>6</v>
      </c>
      <c r="N155" s="11" t="n">
        <v>7</v>
      </c>
      <c r="O155" s="12" t="s">
        <v>329</v>
      </c>
      <c r="P155" s="12" t="s">
        <v>314</v>
      </c>
      <c r="Q155" s="12" t="s">
        <v>84</v>
      </c>
      <c r="R155" s="12" t="s">
        <v>85</v>
      </c>
      <c r="S155" s="1"/>
      <c r="T155" s="1"/>
    </row>
    <row r="156" customFormat="false" ht="15" hidden="false" customHeight="false" outlineLevel="0" collapsed="false">
      <c r="A156" s="1"/>
      <c r="B156" s="9" t="s">
        <v>357</v>
      </c>
      <c r="C156" s="9" t="s">
        <v>114</v>
      </c>
      <c r="D156" s="9" t="s">
        <v>327</v>
      </c>
      <c r="E156" s="9" t="s">
        <v>346</v>
      </c>
      <c r="F156" s="9" t="s">
        <v>117</v>
      </c>
      <c r="G156" s="9" t="s">
        <v>69</v>
      </c>
      <c r="H156" s="9" t="s">
        <v>342</v>
      </c>
      <c r="I156" s="9" t="s">
        <v>140</v>
      </c>
      <c r="J156" s="9" t="s">
        <v>311</v>
      </c>
      <c r="K156" s="9" t="s">
        <v>312</v>
      </c>
      <c r="L156" s="10" t="n">
        <v>122</v>
      </c>
      <c r="M156" s="11" t="n">
        <v>6</v>
      </c>
      <c r="N156" s="11" t="n">
        <v>7</v>
      </c>
      <c r="O156" s="12" t="s">
        <v>329</v>
      </c>
      <c r="P156" s="12" t="s">
        <v>314</v>
      </c>
      <c r="Q156" s="12" t="s">
        <v>84</v>
      </c>
      <c r="R156" s="12" t="s">
        <v>85</v>
      </c>
      <c r="S156" s="1"/>
      <c r="T156" s="1"/>
    </row>
    <row r="157" customFormat="false" ht="15" hidden="false" customHeight="false" outlineLevel="0" collapsed="false">
      <c r="A157" s="1"/>
      <c r="B157" s="9" t="s">
        <v>358</v>
      </c>
      <c r="C157" s="9" t="s">
        <v>114</v>
      </c>
      <c r="D157" s="9" t="s">
        <v>327</v>
      </c>
      <c r="E157" s="9" t="s">
        <v>346</v>
      </c>
      <c r="F157" s="9" t="s">
        <v>117</v>
      </c>
      <c r="G157" s="9" t="s">
        <v>350</v>
      </c>
      <c r="H157" s="9" t="s">
        <v>253</v>
      </c>
      <c r="I157" s="9" t="s">
        <v>140</v>
      </c>
      <c r="J157" s="9" t="s">
        <v>158</v>
      </c>
      <c r="K157" s="9" t="s">
        <v>312</v>
      </c>
      <c r="L157" s="10" t="n">
        <v>122</v>
      </c>
      <c r="M157" s="11" t="n">
        <v>0</v>
      </c>
      <c r="N157" s="11" t="n">
        <v>0</v>
      </c>
      <c r="O157" s="12" t="s">
        <v>329</v>
      </c>
      <c r="P157" s="12" t="s">
        <v>314</v>
      </c>
      <c r="Q157" s="12" t="s">
        <v>84</v>
      </c>
      <c r="R157" s="12" t="s">
        <v>85</v>
      </c>
      <c r="S157" s="1"/>
      <c r="T157" s="1"/>
    </row>
    <row r="158" customFormat="false" ht="15" hidden="false" customHeight="false" outlineLevel="0" collapsed="false">
      <c r="A158" s="1"/>
      <c r="B158" s="9" t="s">
        <v>359</v>
      </c>
      <c r="C158" s="9" t="s">
        <v>114</v>
      </c>
      <c r="D158" s="9" t="s">
        <v>327</v>
      </c>
      <c r="E158" s="9" t="s">
        <v>346</v>
      </c>
      <c r="F158" s="9" t="s">
        <v>117</v>
      </c>
      <c r="G158" s="9" t="s">
        <v>69</v>
      </c>
      <c r="H158" s="9" t="s">
        <v>342</v>
      </c>
      <c r="I158" s="9" t="s">
        <v>140</v>
      </c>
      <c r="J158" s="9" t="s">
        <v>316</v>
      </c>
      <c r="K158" s="9" t="s">
        <v>312</v>
      </c>
      <c r="L158" s="10" t="n">
        <v>122</v>
      </c>
      <c r="M158" s="11" t="n">
        <v>7</v>
      </c>
      <c r="N158" s="11" t="n">
        <v>7</v>
      </c>
      <c r="O158" s="12" t="s">
        <v>329</v>
      </c>
      <c r="P158" s="12" t="s">
        <v>314</v>
      </c>
      <c r="Q158" s="12" t="s">
        <v>84</v>
      </c>
      <c r="R158" s="12" t="s">
        <v>85</v>
      </c>
      <c r="S158" s="1"/>
      <c r="T158" s="1"/>
    </row>
    <row r="159" customFormat="false" ht="15" hidden="false" customHeight="false" outlineLevel="0" collapsed="false">
      <c r="A159" s="1"/>
      <c r="B159" s="9" t="s">
        <v>360</v>
      </c>
      <c r="C159" s="9" t="s">
        <v>114</v>
      </c>
      <c r="D159" s="9" t="s">
        <v>327</v>
      </c>
      <c r="E159" s="9" t="s">
        <v>346</v>
      </c>
      <c r="F159" s="9" t="s">
        <v>117</v>
      </c>
      <c r="G159" s="9" t="s">
        <v>69</v>
      </c>
      <c r="H159" s="9" t="s">
        <v>342</v>
      </c>
      <c r="I159" s="9" t="s">
        <v>191</v>
      </c>
      <c r="J159" s="9" t="s">
        <v>311</v>
      </c>
      <c r="K159" s="9" t="s">
        <v>312</v>
      </c>
      <c r="L159" s="10" t="n">
        <v>122</v>
      </c>
      <c r="M159" s="11" t="n">
        <v>5</v>
      </c>
      <c r="N159" s="11" t="n">
        <v>7</v>
      </c>
      <c r="O159" s="12" t="s">
        <v>329</v>
      </c>
      <c r="P159" s="12" t="s">
        <v>314</v>
      </c>
      <c r="Q159" s="12" t="s">
        <v>84</v>
      </c>
      <c r="R159" s="12" t="s">
        <v>85</v>
      </c>
      <c r="S159" s="1"/>
      <c r="T159" s="1"/>
    </row>
    <row r="160" customFormat="false" ht="15" hidden="false" customHeight="false" outlineLevel="0" collapsed="false">
      <c r="A160" s="1"/>
      <c r="B160" s="9" t="s">
        <v>361</v>
      </c>
      <c r="C160" s="9" t="s">
        <v>114</v>
      </c>
      <c r="D160" s="9" t="s">
        <v>327</v>
      </c>
      <c r="E160" s="9" t="s">
        <v>346</v>
      </c>
      <c r="F160" s="9" t="s">
        <v>117</v>
      </c>
      <c r="G160" s="9" t="s">
        <v>69</v>
      </c>
      <c r="H160" s="9" t="s">
        <v>243</v>
      </c>
      <c r="I160" s="9" t="s">
        <v>191</v>
      </c>
      <c r="J160" s="9" t="s">
        <v>158</v>
      </c>
      <c r="K160" s="9" t="s">
        <v>312</v>
      </c>
      <c r="L160" s="10" t="n">
        <v>122</v>
      </c>
      <c r="M160" s="11" t="n">
        <v>4</v>
      </c>
      <c r="N160" s="11" t="n">
        <v>7</v>
      </c>
      <c r="O160" s="12" t="s">
        <v>329</v>
      </c>
      <c r="P160" s="12" t="s">
        <v>314</v>
      </c>
      <c r="Q160" s="12" t="s">
        <v>84</v>
      </c>
      <c r="R160" s="12" t="s">
        <v>85</v>
      </c>
      <c r="S160" s="1"/>
      <c r="T160" s="1"/>
    </row>
    <row r="161" customFormat="false" ht="15" hidden="false" customHeight="false" outlineLevel="0" collapsed="false">
      <c r="A161" s="1"/>
      <c r="B161" s="9" t="s">
        <v>362</v>
      </c>
      <c r="C161" s="9" t="s">
        <v>114</v>
      </c>
      <c r="D161" s="9" t="s">
        <v>327</v>
      </c>
      <c r="E161" s="9" t="s">
        <v>346</v>
      </c>
      <c r="F161" s="9" t="s">
        <v>117</v>
      </c>
      <c r="G161" s="9" t="s">
        <v>350</v>
      </c>
      <c r="H161" s="9" t="s">
        <v>253</v>
      </c>
      <c r="I161" s="9" t="s">
        <v>191</v>
      </c>
      <c r="J161" s="9" t="s">
        <v>119</v>
      </c>
      <c r="K161" s="9" t="s">
        <v>312</v>
      </c>
      <c r="L161" s="10" t="n">
        <v>122</v>
      </c>
      <c r="M161" s="11" t="n">
        <v>0</v>
      </c>
      <c r="N161" s="11" t="n">
        <v>0</v>
      </c>
      <c r="O161" s="12" t="s">
        <v>329</v>
      </c>
      <c r="P161" s="12" t="s">
        <v>314</v>
      </c>
      <c r="Q161" s="12" t="s">
        <v>84</v>
      </c>
      <c r="R161" s="12" t="s">
        <v>85</v>
      </c>
      <c r="S161" s="1"/>
      <c r="T161" s="1"/>
    </row>
    <row r="162" customFormat="false" ht="15" hidden="false" customHeight="false" outlineLevel="0" collapsed="false">
      <c r="A162" s="1"/>
      <c r="B162" s="9" t="s">
        <v>363</v>
      </c>
      <c r="C162" s="9" t="s">
        <v>114</v>
      </c>
      <c r="D162" s="9" t="s">
        <v>327</v>
      </c>
      <c r="E162" s="9" t="s">
        <v>346</v>
      </c>
      <c r="F162" s="9" t="s">
        <v>117</v>
      </c>
      <c r="G162" s="9" t="s">
        <v>69</v>
      </c>
      <c r="H162" s="9" t="s">
        <v>338</v>
      </c>
      <c r="I162" s="9" t="s">
        <v>191</v>
      </c>
      <c r="J162" s="9" t="s">
        <v>316</v>
      </c>
      <c r="K162" s="9" t="s">
        <v>312</v>
      </c>
      <c r="L162" s="10" t="n">
        <v>122</v>
      </c>
      <c r="M162" s="11" t="n">
        <v>6</v>
      </c>
      <c r="N162" s="11" t="n">
        <v>7</v>
      </c>
      <c r="O162" s="12" t="s">
        <v>329</v>
      </c>
      <c r="P162" s="12" t="s">
        <v>314</v>
      </c>
      <c r="Q162" s="12" t="s">
        <v>84</v>
      </c>
      <c r="R162" s="12" t="s">
        <v>85</v>
      </c>
      <c r="S162" s="1"/>
      <c r="T162" s="1"/>
    </row>
    <row r="163" customFormat="false" ht="15" hidden="false" customHeight="false" outlineLevel="0" collapsed="false">
      <c r="A163" s="1"/>
      <c r="B163" s="9" t="s">
        <v>364</v>
      </c>
      <c r="C163" s="9" t="s">
        <v>114</v>
      </c>
      <c r="D163" s="9" t="s">
        <v>327</v>
      </c>
      <c r="E163" s="9" t="s">
        <v>346</v>
      </c>
      <c r="F163" s="9" t="s">
        <v>117</v>
      </c>
      <c r="G163" s="9" t="s">
        <v>69</v>
      </c>
      <c r="H163" s="9" t="s">
        <v>182</v>
      </c>
      <c r="I163" s="9" t="s">
        <v>143</v>
      </c>
      <c r="J163" s="9" t="s">
        <v>311</v>
      </c>
      <c r="K163" s="9" t="s">
        <v>312</v>
      </c>
      <c r="L163" s="10" t="n">
        <v>122</v>
      </c>
      <c r="M163" s="11" t="n">
        <v>4</v>
      </c>
      <c r="N163" s="11" t="n">
        <v>7</v>
      </c>
      <c r="O163" s="12" t="s">
        <v>329</v>
      </c>
      <c r="P163" s="12" t="s">
        <v>314</v>
      </c>
      <c r="Q163" s="12" t="s">
        <v>84</v>
      </c>
      <c r="R163" s="12" t="s">
        <v>85</v>
      </c>
      <c r="S163" s="1"/>
      <c r="T163" s="1"/>
    </row>
    <row r="164" customFormat="false" ht="15" hidden="false" customHeight="false" outlineLevel="0" collapsed="false">
      <c r="A164" s="1"/>
      <c r="B164" s="9" t="s">
        <v>365</v>
      </c>
      <c r="C164" s="9" t="s">
        <v>114</v>
      </c>
      <c r="D164" s="9" t="s">
        <v>327</v>
      </c>
      <c r="E164" s="9" t="s">
        <v>346</v>
      </c>
      <c r="F164" s="9" t="s">
        <v>117</v>
      </c>
      <c r="G164" s="9" t="s">
        <v>69</v>
      </c>
      <c r="H164" s="9" t="s">
        <v>267</v>
      </c>
      <c r="I164" s="9" t="s">
        <v>143</v>
      </c>
      <c r="J164" s="9" t="s">
        <v>292</v>
      </c>
      <c r="K164" s="9" t="s">
        <v>312</v>
      </c>
      <c r="L164" s="10" t="n">
        <v>122</v>
      </c>
      <c r="M164" s="11" t="n">
        <v>6</v>
      </c>
      <c r="N164" s="11" t="n">
        <v>7</v>
      </c>
      <c r="O164" s="12" t="s">
        <v>329</v>
      </c>
      <c r="P164" s="12" t="s">
        <v>314</v>
      </c>
      <c r="Q164" s="12" t="s">
        <v>84</v>
      </c>
      <c r="R164" s="12" t="s">
        <v>85</v>
      </c>
      <c r="S164" s="1"/>
      <c r="T164" s="1"/>
    </row>
    <row r="165" customFormat="false" ht="15" hidden="false" customHeight="false" outlineLevel="0" collapsed="false">
      <c r="A165" s="1"/>
      <c r="B165" s="9" t="s">
        <v>366</v>
      </c>
      <c r="C165" s="9" t="s">
        <v>114</v>
      </c>
      <c r="D165" s="9" t="s">
        <v>327</v>
      </c>
      <c r="E165" s="9" t="s">
        <v>346</v>
      </c>
      <c r="F165" s="9" t="s">
        <v>117</v>
      </c>
      <c r="G165" s="9" t="s">
        <v>69</v>
      </c>
      <c r="H165" s="9"/>
      <c r="I165" s="9"/>
      <c r="J165" s="9"/>
      <c r="K165" s="9"/>
      <c r="L165" s="10" t="n">
        <v>0</v>
      </c>
      <c r="M165" s="11" t="n">
        <v>0</v>
      </c>
      <c r="N165" s="11" t="n">
        <v>0</v>
      </c>
      <c r="O165" s="12" t="s">
        <v>329</v>
      </c>
      <c r="P165" s="12" t="s">
        <v>314</v>
      </c>
      <c r="Q165" s="12" t="s">
        <v>75</v>
      </c>
      <c r="R165" s="12" t="s">
        <v>161</v>
      </c>
      <c r="S165" s="1"/>
      <c r="T165" s="1"/>
    </row>
    <row r="166" customFormat="false" ht="15" hidden="false" customHeight="false" outlineLevel="0" collapsed="false">
      <c r="A166" s="1"/>
      <c r="B166" s="9" t="s">
        <v>367</v>
      </c>
      <c r="C166" s="9" t="s">
        <v>114</v>
      </c>
      <c r="D166" s="9" t="s">
        <v>327</v>
      </c>
      <c r="E166" s="9" t="s">
        <v>368</v>
      </c>
      <c r="F166" s="9" t="s">
        <v>117</v>
      </c>
      <c r="G166" s="9" t="s">
        <v>69</v>
      </c>
      <c r="H166" s="9"/>
      <c r="I166" s="9"/>
      <c r="J166" s="9"/>
      <c r="K166" s="9"/>
      <c r="L166" s="10" t="n">
        <v>0</v>
      </c>
      <c r="M166" s="11" t="n">
        <v>0</v>
      </c>
      <c r="N166" s="11" t="n">
        <v>0</v>
      </c>
      <c r="O166" s="12" t="s">
        <v>329</v>
      </c>
      <c r="P166" s="12" t="s">
        <v>314</v>
      </c>
      <c r="Q166" s="12" t="s">
        <v>75</v>
      </c>
      <c r="R166" s="12" t="s">
        <v>161</v>
      </c>
      <c r="S166" s="1"/>
      <c r="T166" s="1"/>
    </row>
    <row r="167" customFormat="false" ht="15" hidden="false" customHeight="false" outlineLevel="0" collapsed="false">
      <c r="A167" s="1"/>
      <c r="B167" s="9" t="s">
        <v>369</v>
      </c>
      <c r="C167" s="9" t="s">
        <v>114</v>
      </c>
      <c r="D167" s="9" t="s">
        <v>327</v>
      </c>
      <c r="E167" s="9" t="s">
        <v>368</v>
      </c>
      <c r="F167" s="9" t="s">
        <v>117</v>
      </c>
      <c r="G167" s="9" t="s">
        <v>69</v>
      </c>
      <c r="H167" s="9" t="s">
        <v>342</v>
      </c>
      <c r="I167" s="9" t="s">
        <v>143</v>
      </c>
      <c r="J167" s="9" t="s">
        <v>311</v>
      </c>
      <c r="K167" s="9" t="s">
        <v>312</v>
      </c>
      <c r="L167" s="10" t="n">
        <v>122</v>
      </c>
      <c r="M167" s="11" t="n">
        <v>3</v>
      </c>
      <c r="N167" s="11" t="n">
        <v>7</v>
      </c>
      <c r="O167" s="12" t="s">
        <v>329</v>
      </c>
      <c r="P167" s="12" t="s">
        <v>314</v>
      </c>
      <c r="Q167" s="12" t="s">
        <v>84</v>
      </c>
      <c r="R167" s="12" t="s">
        <v>85</v>
      </c>
      <c r="S167" s="1"/>
      <c r="T167" s="1"/>
    </row>
    <row r="168" customFormat="false" ht="15" hidden="false" customHeight="false" outlineLevel="0" collapsed="false">
      <c r="A168" s="1"/>
      <c r="B168" s="9" t="s">
        <v>370</v>
      </c>
      <c r="C168" s="9" t="s">
        <v>114</v>
      </c>
      <c r="D168" s="9" t="s">
        <v>327</v>
      </c>
      <c r="E168" s="9" t="s">
        <v>368</v>
      </c>
      <c r="F168" s="9" t="s">
        <v>117</v>
      </c>
      <c r="G168" s="9" t="s">
        <v>69</v>
      </c>
      <c r="H168" s="9" t="s">
        <v>267</v>
      </c>
      <c r="I168" s="9" t="s">
        <v>143</v>
      </c>
      <c r="J168" s="9" t="s">
        <v>119</v>
      </c>
      <c r="K168" s="9" t="s">
        <v>312</v>
      </c>
      <c r="L168" s="10" t="n">
        <v>122</v>
      </c>
      <c r="M168" s="11" t="n">
        <v>4</v>
      </c>
      <c r="N168" s="11" t="n">
        <v>7</v>
      </c>
      <c r="O168" s="12" t="s">
        <v>329</v>
      </c>
      <c r="P168" s="12" t="s">
        <v>314</v>
      </c>
      <c r="Q168" s="12" t="s">
        <v>84</v>
      </c>
      <c r="R168" s="12" t="s">
        <v>85</v>
      </c>
      <c r="S168" s="1"/>
      <c r="T168" s="1"/>
    </row>
    <row r="169" customFormat="false" ht="15" hidden="false" customHeight="false" outlineLevel="0" collapsed="false">
      <c r="A169" s="1"/>
      <c r="B169" s="9" t="s">
        <v>371</v>
      </c>
      <c r="C169" s="9" t="s">
        <v>114</v>
      </c>
      <c r="D169" s="9" t="s">
        <v>372</v>
      </c>
      <c r="E169" s="9" t="s">
        <v>373</v>
      </c>
      <c r="F169" s="9" t="s">
        <v>171</v>
      </c>
      <c r="G169" s="9" t="s">
        <v>69</v>
      </c>
      <c r="H169" s="9" t="s">
        <v>188</v>
      </c>
      <c r="I169" s="9" t="s">
        <v>191</v>
      </c>
      <c r="J169" s="9" t="s">
        <v>229</v>
      </c>
      <c r="K169" s="9" t="s">
        <v>312</v>
      </c>
      <c r="L169" s="10" t="n">
        <v>183</v>
      </c>
      <c r="M169" s="11" t="n">
        <v>8</v>
      </c>
      <c r="N169" s="11" t="n">
        <v>8</v>
      </c>
      <c r="O169" s="12" t="s">
        <v>374</v>
      </c>
      <c r="P169" s="12" t="s">
        <v>375</v>
      </c>
      <c r="Q169" s="12" t="s">
        <v>84</v>
      </c>
      <c r="R169" s="12" t="s">
        <v>173</v>
      </c>
      <c r="S169" s="1"/>
      <c r="T169" s="1"/>
    </row>
    <row r="170" customFormat="false" ht="15" hidden="false" customHeight="false" outlineLevel="0" collapsed="false">
      <c r="A170" s="1"/>
      <c r="B170" s="9" t="s">
        <v>376</v>
      </c>
      <c r="C170" s="9" t="s">
        <v>114</v>
      </c>
      <c r="D170" s="9" t="s">
        <v>372</v>
      </c>
      <c r="E170" s="9" t="s">
        <v>373</v>
      </c>
      <c r="F170" s="9" t="s">
        <v>171</v>
      </c>
      <c r="G170" s="9" t="s">
        <v>69</v>
      </c>
      <c r="H170" s="9" t="s">
        <v>220</v>
      </c>
      <c r="I170" s="9" t="s">
        <v>140</v>
      </c>
      <c r="J170" s="9" t="s">
        <v>377</v>
      </c>
      <c r="K170" s="9" t="s">
        <v>312</v>
      </c>
      <c r="L170" s="10" t="n">
        <v>183</v>
      </c>
      <c r="M170" s="11" t="n">
        <v>6</v>
      </c>
      <c r="N170" s="11" t="n">
        <v>8</v>
      </c>
      <c r="O170" s="12" t="s">
        <v>374</v>
      </c>
      <c r="P170" s="12" t="s">
        <v>375</v>
      </c>
      <c r="Q170" s="12" t="s">
        <v>84</v>
      </c>
      <c r="R170" s="12" t="s">
        <v>173</v>
      </c>
      <c r="S170" s="1"/>
      <c r="T170" s="1"/>
    </row>
    <row r="171" customFormat="false" ht="15" hidden="false" customHeight="false" outlineLevel="0" collapsed="false">
      <c r="A171" s="1"/>
      <c r="B171" s="9" t="s">
        <v>378</v>
      </c>
      <c r="C171" s="9" t="s">
        <v>114</v>
      </c>
      <c r="D171" s="9" t="s">
        <v>372</v>
      </c>
      <c r="E171" s="9" t="s">
        <v>373</v>
      </c>
      <c r="F171" s="9" t="s">
        <v>171</v>
      </c>
      <c r="G171" s="9" t="s">
        <v>69</v>
      </c>
      <c r="H171" s="9" t="s">
        <v>146</v>
      </c>
      <c r="I171" s="9" t="s">
        <v>147</v>
      </c>
      <c r="J171" s="9" t="s">
        <v>229</v>
      </c>
      <c r="K171" s="9" t="s">
        <v>312</v>
      </c>
      <c r="L171" s="10" t="n">
        <v>183</v>
      </c>
      <c r="M171" s="11" t="n">
        <v>4</v>
      </c>
      <c r="N171" s="11" t="n">
        <v>8</v>
      </c>
      <c r="O171" s="12" t="s">
        <v>374</v>
      </c>
      <c r="P171" s="12" t="s">
        <v>375</v>
      </c>
      <c r="Q171" s="12" t="s">
        <v>84</v>
      </c>
      <c r="R171" s="12" t="s">
        <v>173</v>
      </c>
      <c r="S171" s="1"/>
      <c r="T171" s="1"/>
    </row>
    <row r="172" customFormat="false" ht="15" hidden="false" customHeight="false" outlineLevel="0" collapsed="false">
      <c r="A172" s="1"/>
      <c r="B172" s="9" t="s">
        <v>379</v>
      </c>
      <c r="C172" s="9" t="s">
        <v>114</v>
      </c>
      <c r="D172" s="9" t="s">
        <v>372</v>
      </c>
      <c r="E172" s="9" t="s">
        <v>373</v>
      </c>
      <c r="F172" s="9" t="s">
        <v>117</v>
      </c>
      <c r="G172" s="9" t="s">
        <v>69</v>
      </c>
      <c r="H172" s="9" t="s">
        <v>380</v>
      </c>
      <c r="I172" s="9" t="s">
        <v>143</v>
      </c>
      <c r="J172" s="9" t="s">
        <v>95</v>
      </c>
      <c r="K172" s="9" t="s">
        <v>312</v>
      </c>
      <c r="L172" s="10" t="n">
        <v>122</v>
      </c>
      <c r="M172" s="11" t="n">
        <v>5</v>
      </c>
      <c r="N172" s="11" t="n">
        <v>8</v>
      </c>
      <c r="O172" s="12" t="s">
        <v>374</v>
      </c>
      <c r="P172" s="12" t="s">
        <v>375</v>
      </c>
      <c r="Q172" s="12" t="s">
        <v>84</v>
      </c>
      <c r="R172" s="12" t="s">
        <v>85</v>
      </c>
      <c r="S172" s="1"/>
      <c r="T172" s="1"/>
    </row>
    <row r="173" customFormat="false" ht="15" hidden="false" customHeight="false" outlineLevel="0" collapsed="false">
      <c r="A173" s="1"/>
      <c r="B173" s="9" t="s">
        <v>381</v>
      </c>
      <c r="C173" s="9" t="s">
        <v>114</v>
      </c>
      <c r="D173" s="9" t="s">
        <v>372</v>
      </c>
      <c r="E173" s="9" t="s">
        <v>373</v>
      </c>
      <c r="F173" s="9" t="s">
        <v>117</v>
      </c>
      <c r="G173" s="9" t="s">
        <v>69</v>
      </c>
      <c r="H173" s="9" t="s">
        <v>380</v>
      </c>
      <c r="I173" s="9" t="s">
        <v>168</v>
      </c>
      <c r="J173" s="9" t="s">
        <v>186</v>
      </c>
      <c r="K173" s="9" t="s">
        <v>312</v>
      </c>
      <c r="L173" s="10" t="n">
        <v>122</v>
      </c>
      <c r="M173" s="11" t="n">
        <v>11</v>
      </c>
      <c r="N173" s="11" t="n">
        <v>10</v>
      </c>
      <c r="O173" s="12" t="s">
        <v>374</v>
      </c>
      <c r="P173" s="12" t="s">
        <v>375</v>
      </c>
      <c r="Q173" s="12" t="s">
        <v>84</v>
      </c>
      <c r="R173" s="12" t="s">
        <v>85</v>
      </c>
      <c r="S173" s="1"/>
      <c r="T173" s="1"/>
    </row>
    <row r="174" customFormat="false" ht="15" hidden="false" customHeight="false" outlineLevel="0" collapsed="false">
      <c r="A174" s="1"/>
      <c r="B174" s="9" t="s">
        <v>382</v>
      </c>
      <c r="C174" s="9" t="s">
        <v>114</v>
      </c>
      <c r="D174" s="9" t="s">
        <v>372</v>
      </c>
      <c r="E174" s="9" t="s">
        <v>373</v>
      </c>
      <c r="F174" s="9" t="s">
        <v>117</v>
      </c>
      <c r="G174" s="9" t="s">
        <v>69</v>
      </c>
      <c r="H174" s="9"/>
      <c r="I174" s="9"/>
      <c r="J174" s="9"/>
      <c r="K174" s="9"/>
      <c r="L174" s="10" t="n">
        <v>0</v>
      </c>
      <c r="M174" s="11" t="n">
        <v>0</v>
      </c>
      <c r="N174" s="11" t="n">
        <v>0</v>
      </c>
      <c r="O174" s="12" t="s">
        <v>374</v>
      </c>
      <c r="P174" s="12" t="s">
        <v>375</v>
      </c>
      <c r="Q174" s="12" t="s">
        <v>75</v>
      </c>
      <c r="R174" s="12" t="s">
        <v>161</v>
      </c>
      <c r="S174" s="1"/>
      <c r="T174" s="1"/>
    </row>
    <row r="175" customFormat="false" ht="15" hidden="false" customHeight="false" outlineLevel="0" collapsed="false">
      <c r="A175" s="1"/>
      <c r="B175" s="9" t="s">
        <v>383</v>
      </c>
      <c r="C175" s="9" t="s">
        <v>114</v>
      </c>
      <c r="D175" s="9" t="s">
        <v>372</v>
      </c>
      <c r="E175" s="9" t="s">
        <v>373</v>
      </c>
      <c r="F175" s="9" t="s">
        <v>117</v>
      </c>
      <c r="G175" s="9" t="s">
        <v>69</v>
      </c>
      <c r="H175" s="9" t="s">
        <v>118</v>
      </c>
      <c r="I175" s="9" t="s">
        <v>168</v>
      </c>
      <c r="J175" s="9" t="s">
        <v>206</v>
      </c>
      <c r="K175" s="9" t="s">
        <v>312</v>
      </c>
      <c r="L175" s="10" t="n">
        <v>122</v>
      </c>
      <c r="M175" s="11" t="n">
        <v>7</v>
      </c>
      <c r="N175" s="11" t="n">
        <v>8</v>
      </c>
      <c r="O175" s="12" t="s">
        <v>374</v>
      </c>
      <c r="P175" s="12" t="s">
        <v>375</v>
      </c>
      <c r="Q175" s="12" t="s">
        <v>84</v>
      </c>
      <c r="R175" s="12" t="s">
        <v>85</v>
      </c>
      <c r="S175" s="1"/>
      <c r="T175" s="1"/>
    </row>
    <row r="176" customFormat="false" ht="15" hidden="false" customHeight="false" outlineLevel="0" collapsed="false">
      <c r="A176" s="1"/>
      <c r="B176" s="9" t="s">
        <v>384</v>
      </c>
      <c r="C176" s="9" t="s">
        <v>114</v>
      </c>
      <c r="D176" s="9" t="s">
        <v>372</v>
      </c>
      <c r="E176" s="9" t="s">
        <v>373</v>
      </c>
      <c r="F176" s="9" t="s">
        <v>117</v>
      </c>
      <c r="G176" s="9" t="s">
        <v>69</v>
      </c>
      <c r="H176" s="9" t="s">
        <v>179</v>
      </c>
      <c r="I176" s="9" t="s">
        <v>147</v>
      </c>
      <c r="J176" s="9" t="s">
        <v>229</v>
      </c>
      <c r="K176" s="9" t="s">
        <v>312</v>
      </c>
      <c r="L176" s="10" t="n">
        <v>122</v>
      </c>
      <c r="M176" s="11" t="n">
        <v>4</v>
      </c>
      <c r="N176" s="11" t="n">
        <v>8</v>
      </c>
      <c r="O176" s="12" t="s">
        <v>374</v>
      </c>
      <c r="P176" s="12" t="s">
        <v>375</v>
      </c>
      <c r="Q176" s="12" t="s">
        <v>84</v>
      </c>
      <c r="R176" s="12" t="s">
        <v>85</v>
      </c>
      <c r="S176" s="1"/>
      <c r="T176" s="1"/>
    </row>
    <row r="177" customFormat="false" ht="15" hidden="false" customHeight="false" outlineLevel="0" collapsed="false">
      <c r="A177" s="1"/>
      <c r="B177" s="9" t="s">
        <v>385</v>
      </c>
      <c r="C177" s="9" t="s">
        <v>114</v>
      </c>
      <c r="D177" s="9" t="s">
        <v>372</v>
      </c>
      <c r="E177" s="9" t="s">
        <v>373</v>
      </c>
      <c r="F177" s="9" t="s">
        <v>117</v>
      </c>
      <c r="G177" s="9" t="s">
        <v>69</v>
      </c>
      <c r="H177" s="9" t="s">
        <v>152</v>
      </c>
      <c r="I177" s="9" t="s">
        <v>143</v>
      </c>
      <c r="J177" s="9" t="s">
        <v>377</v>
      </c>
      <c r="K177" s="9" t="s">
        <v>312</v>
      </c>
      <c r="L177" s="10" t="n">
        <v>122</v>
      </c>
      <c r="M177" s="11" t="n">
        <v>7</v>
      </c>
      <c r="N177" s="11" t="n">
        <v>8</v>
      </c>
      <c r="O177" s="12" t="s">
        <v>374</v>
      </c>
      <c r="P177" s="12" t="s">
        <v>375</v>
      </c>
      <c r="Q177" s="12" t="s">
        <v>84</v>
      </c>
      <c r="R177" s="12" t="s">
        <v>85</v>
      </c>
      <c r="S177" s="1"/>
      <c r="T177" s="1"/>
    </row>
    <row r="178" customFormat="false" ht="15" hidden="false" customHeight="false" outlineLevel="0" collapsed="false">
      <c r="A178" s="1"/>
      <c r="B178" s="9" t="s">
        <v>386</v>
      </c>
      <c r="C178" s="9" t="s">
        <v>114</v>
      </c>
      <c r="D178" s="9" t="s">
        <v>372</v>
      </c>
      <c r="E178" s="9" t="s">
        <v>373</v>
      </c>
      <c r="F178" s="9" t="s">
        <v>117</v>
      </c>
      <c r="G178" s="9" t="s">
        <v>69</v>
      </c>
      <c r="H178" s="9" t="s">
        <v>176</v>
      </c>
      <c r="I178" s="9" t="s">
        <v>168</v>
      </c>
      <c r="J178" s="9" t="s">
        <v>387</v>
      </c>
      <c r="K178" s="9" t="s">
        <v>312</v>
      </c>
      <c r="L178" s="10" t="n">
        <v>122</v>
      </c>
      <c r="M178" s="11" t="n">
        <v>10</v>
      </c>
      <c r="N178" s="11" t="n">
        <v>10</v>
      </c>
      <c r="O178" s="12" t="s">
        <v>374</v>
      </c>
      <c r="P178" s="12" t="s">
        <v>375</v>
      </c>
      <c r="Q178" s="12" t="s">
        <v>84</v>
      </c>
      <c r="R178" s="12" t="s">
        <v>85</v>
      </c>
      <c r="S178" s="1"/>
      <c r="T178" s="1"/>
    </row>
    <row r="179" customFormat="false" ht="15" hidden="false" customHeight="false" outlineLevel="0" collapsed="false">
      <c r="A179" s="1"/>
      <c r="B179" s="9" t="s">
        <v>388</v>
      </c>
      <c r="C179" s="9" t="s">
        <v>114</v>
      </c>
      <c r="D179" s="9" t="s">
        <v>372</v>
      </c>
      <c r="E179" s="9" t="s">
        <v>373</v>
      </c>
      <c r="F179" s="9" t="s">
        <v>117</v>
      </c>
      <c r="G179" s="9" t="s">
        <v>69</v>
      </c>
      <c r="H179" s="9"/>
      <c r="I179" s="9"/>
      <c r="J179" s="9"/>
      <c r="K179" s="9"/>
      <c r="L179" s="10" t="n">
        <v>0</v>
      </c>
      <c r="M179" s="11" t="n">
        <v>0</v>
      </c>
      <c r="N179" s="11" t="n">
        <v>0</v>
      </c>
      <c r="O179" s="12" t="s">
        <v>374</v>
      </c>
      <c r="P179" s="12" t="s">
        <v>375</v>
      </c>
      <c r="Q179" s="12" t="s">
        <v>75</v>
      </c>
      <c r="R179" s="12" t="s">
        <v>161</v>
      </c>
      <c r="S179" s="1"/>
      <c r="T179" s="1"/>
    </row>
    <row r="180" customFormat="false" ht="15" hidden="false" customHeight="false" outlineLevel="0" collapsed="false">
      <c r="A180" s="1"/>
      <c r="B180" s="9" t="s">
        <v>389</v>
      </c>
      <c r="C180" s="9" t="s">
        <v>114</v>
      </c>
      <c r="D180" s="9" t="s">
        <v>372</v>
      </c>
      <c r="E180" s="9" t="s">
        <v>373</v>
      </c>
      <c r="F180" s="9" t="s">
        <v>117</v>
      </c>
      <c r="G180" s="9" t="s">
        <v>69</v>
      </c>
      <c r="H180" s="9"/>
      <c r="I180" s="9"/>
      <c r="J180" s="9"/>
      <c r="K180" s="9"/>
      <c r="L180" s="10" t="n">
        <v>0</v>
      </c>
      <c r="M180" s="11" t="n">
        <v>0</v>
      </c>
      <c r="N180" s="11" t="n">
        <v>0</v>
      </c>
      <c r="O180" s="12" t="s">
        <v>374</v>
      </c>
      <c r="P180" s="12" t="s">
        <v>375</v>
      </c>
      <c r="Q180" s="12" t="s">
        <v>75</v>
      </c>
      <c r="R180" s="12" t="s">
        <v>161</v>
      </c>
      <c r="S180" s="1"/>
      <c r="T180" s="1"/>
    </row>
    <row r="181" customFormat="false" ht="1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customFormat="false" ht="1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customFormat="false" ht="1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customFormat="false" ht="1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customFormat="false" ht="1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customFormat="false" ht="1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customFormat="false" ht="1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customFormat="false" ht="1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0"/>
    <col collapsed="false" customWidth="true" hidden="false" outlineLevel="0" max="4" min="4" style="0" width="14"/>
    <col collapsed="false" customWidth="true" hidden="false" outlineLevel="0" max="7" min="5" style="0" width="10"/>
    <col collapsed="false" customWidth="true" hidden="false" outlineLevel="0" max="10" min="8" style="0" width="12"/>
  </cols>
  <sheetData>
    <row r="1" customFormat="false" ht="16.15" hidden="false" customHeight="false" outlineLevel="0" collapsed="false">
      <c r="A1" s="1"/>
      <c r="B1" s="7" t="s">
        <v>390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1"/>
      <c r="B2" s="3" t="s">
        <v>391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8" t="s">
        <v>392</v>
      </c>
      <c r="C4" s="8" t="s">
        <v>393</v>
      </c>
      <c r="D4" s="8" t="s">
        <v>394</v>
      </c>
      <c r="E4" s="8" t="s">
        <v>60</v>
      </c>
      <c r="F4" s="8" t="s">
        <v>395</v>
      </c>
      <c r="G4" s="8" t="s">
        <v>396</v>
      </c>
      <c r="H4" s="8" t="s">
        <v>397</v>
      </c>
      <c r="I4" s="8" t="s">
        <v>398</v>
      </c>
      <c r="J4" s="8" t="s">
        <v>399</v>
      </c>
      <c r="K4" s="1"/>
      <c r="L4" s="1"/>
    </row>
    <row r="5" customFormat="false" ht="15" hidden="false" customHeight="false" outlineLevel="0" collapsed="false">
      <c r="A5" s="1"/>
      <c r="B5" s="13" t="s">
        <v>314</v>
      </c>
      <c r="C5" s="14" t="n">
        <f aca="false">COUNTIF('Class Export (mapped)'!$P$5:$P$180,$B5)</f>
        <v>45</v>
      </c>
      <c r="D5" s="14" t="n">
        <f aca="false">COUNTIFS('Class Export (mapped)'!$P$5:$P$180,$B5,'Class Export (mapped)'!$Q$5:$Q$180,"Yes")</f>
        <v>39</v>
      </c>
      <c r="E5" s="14" t="n">
        <f aca="false">SUMIF('Class Export (mapped)'!$P$5:$P$180,$B5,'Class Export (mapped)'!$M$5:$M$180)</f>
        <v>211</v>
      </c>
      <c r="F5" s="14" t="n">
        <f aca="false">SUMIF('Class Export (mapped)'!$P$5:$P$180,$B5,'Class Export (mapped)'!$N$5:$N$180)</f>
        <v>309</v>
      </c>
      <c r="G5" s="15" t="n">
        <f aca="false">IFERROR(E5/F5,0)</f>
        <v>0.682847896440129</v>
      </c>
      <c r="H5" s="16" t="n">
        <f aca="false">IFERROR(_xlfn.MINIFS('Class Export (mapped)'!$L$5:$L$180,'Class Export (mapped)'!$P$5:$P$180,$B5,'Class Export (mapped)'!$Q$5:$Q$180,"Yes"),0)</f>
        <v>114</v>
      </c>
      <c r="I5" s="16" t="n">
        <f aca="false">IFERROR(AVERAGEIFS('Class Export (mapped)'!$L$5:$L$180,'Class Export (mapped)'!$P$5:$P$180,$B5,'Class Export (mapped)'!$Q$5:$Q$180,"Yes"),0)</f>
        <v>120.358974358974</v>
      </c>
      <c r="J5" s="16" t="n">
        <f aca="false">IFERROR(_xlfn.MAXIFS('Class Export (mapped)'!$L$5:$L$180,'Class Export (mapped)'!$P$5:$P$180,$B5,'Class Export (mapped)'!$Q$5:$Q$180,"Yes"),0)</f>
        <v>122</v>
      </c>
      <c r="K5" s="1"/>
      <c r="L5" s="1"/>
    </row>
    <row r="6" customFormat="false" ht="15" hidden="false" customHeight="false" outlineLevel="0" collapsed="false">
      <c r="A6" s="1"/>
      <c r="B6" s="13" t="s">
        <v>177</v>
      </c>
      <c r="C6" s="14" t="n">
        <f aca="false">COUNTIF('Class Export (mapped)'!$P$5:$P$180,$B6)</f>
        <v>85</v>
      </c>
      <c r="D6" s="14" t="n">
        <f aca="false">COUNTIFS('Class Export (mapped)'!$P$5:$P$180,$B6,'Class Export (mapped)'!$Q$5:$Q$180,"Yes")</f>
        <v>75</v>
      </c>
      <c r="E6" s="14" t="n">
        <f aca="false">SUMIF('Class Export (mapped)'!$P$5:$P$180,$B6,'Class Export (mapped)'!$M$5:$M$180)</f>
        <v>402</v>
      </c>
      <c r="F6" s="14" t="n">
        <f aca="false">SUMIF('Class Export (mapped)'!$P$5:$P$180,$B6,'Class Export (mapped)'!$N$5:$N$180)</f>
        <v>579</v>
      </c>
      <c r="G6" s="15" t="n">
        <f aca="false">IFERROR(E6/F6,0)</f>
        <v>0.694300518134715</v>
      </c>
      <c r="H6" s="16" t="n">
        <f aca="false">IFERROR(_xlfn.MINIFS('Class Export (mapped)'!$L$5:$L$180,'Class Export (mapped)'!$P$5:$P$180,$B6,'Class Export (mapped)'!$Q$5:$Q$180,"Yes"),0)</f>
        <v>143</v>
      </c>
      <c r="I6" s="16" t="n">
        <f aca="false">IFERROR(AVERAGEIFS('Class Export (mapped)'!$L$5:$L$180,'Class Export (mapped)'!$P$5:$P$180,$B6,'Class Export (mapped)'!$Q$5:$Q$180,"Yes"),0)</f>
        <v>176.193333333333</v>
      </c>
      <c r="J6" s="16" t="n">
        <f aca="false">IFERROR(_xlfn.MAXIFS('Class Export (mapped)'!$L$5:$L$180,'Class Export (mapped)'!$P$5:$P$180,$B6,'Class Export (mapped)'!$Q$5:$Q$180,"Yes"),0)</f>
        <v>300</v>
      </c>
      <c r="K6" s="1"/>
      <c r="L6" s="1"/>
    </row>
    <row r="7" customFormat="false" ht="15" hidden="false" customHeight="false" outlineLevel="0" collapsed="false">
      <c r="A7" s="1"/>
      <c r="B7" s="13" t="s">
        <v>150</v>
      </c>
      <c r="C7" s="14" t="n">
        <f aca="false">COUNTIF('Class Export (mapped)'!$P$5:$P$180,$B7)</f>
        <v>11</v>
      </c>
      <c r="D7" s="14" t="n">
        <f aca="false">COUNTIFS('Class Export (mapped)'!$P$5:$P$180,$B7,'Class Export (mapped)'!$Q$5:$Q$180,"Yes")</f>
        <v>8</v>
      </c>
      <c r="E7" s="14" t="n">
        <f aca="false">SUMIF('Class Export (mapped)'!$P$5:$P$180,$B7,'Class Export (mapped)'!$M$5:$M$180)</f>
        <v>33</v>
      </c>
      <c r="F7" s="14" t="n">
        <f aca="false">SUMIF('Class Export (mapped)'!$P$5:$P$180,$B7,'Class Export (mapped)'!$N$5:$N$180)</f>
        <v>64</v>
      </c>
      <c r="G7" s="15" t="n">
        <f aca="false">IFERROR(E7/F7,0)</f>
        <v>0.515625</v>
      </c>
      <c r="H7" s="16" t="n">
        <f aca="false">IFERROR(_xlfn.MINIFS('Class Export (mapped)'!$L$5:$L$180,'Class Export (mapped)'!$P$5:$P$180,$B7,'Class Export (mapped)'!$Q$5:$Q$180,"Yes"),0)</f>
        <v>143</v>
      </c>
      <c r="I7" s="16" t="n">
        <f aca="false">IFERROR(AVERAGEIFS('Class Export (mapped)'!$L$5:$L$180,'Class Export (mapped)'!$P$5:$P$180,$B7,'Class Export (mapped)'!$Q$5:$Q$180,"Yes"),0)</f>
        <v>162.4375</v>
      </c>
      <c r="J7" s="16" t="n">
        <f aca="false">IFERROR(_xlfn.MAXIFS('Class Export (mapped)'!$L$5:$L$180,'Class Export (mapped)'!$P$5:$P$180,$B7,'Class Export (mapped)'!$Q$5:$Q$180,"Yes"),0)</f>
        <v>250.5</v>
      </c>
      <c r="K7" s="1"/>
      <c r="L7" s="1"/>
    </row>
    <row r="8" customFormat="false" ht="15" hidden="false" customHeight="false" outlineLevel="0" collapsed="false">
      <c r="A8" s="1"/>
      <c r="B8" s="13" t="s">
        <v>375</v>
      </c>
      <c r="C8" s="14" t="n">
        <f aca="false">COUNTIF('Class Export (mapped)'!$P$5:$P$180,$B8)</f>
        <v>12</v>
      </c>
      <c r="D8" s="14" t="n">
        <f aca="false">COUNTIFS('Class Export (mapped)'!$P$5:$P$180,$B8,'Class Export (mapped)'!$Q$5:$Q$180,"Yes")</f>
        <v>9</v>
      </c>
      <c r="E8" s="14" t="n">
        <f aca="false">SUMIF('Class Export (mapped)'!$P$5:$P$180,$B8,'Class Export (mapped)'!$M$5:$M$180)</f>
        <v>62</v>
      </c>
      <c r="F8" s="14" t="n">
        <f aca="false">SUMIF('Class Export (mapped)'!$P$5:$P$180,$B8,'Class Export (mapped)'!$N$5:$N$180)</f>
        <v>76</v>
      </c>
      <c r="G8" s="15" t="n">
        <f aca="false">IFERROR(E8/F8,0)</f>
        <v>0.815789473684211</v>
      </c>
      <c r="H8" s="16" t="n">
        <f aca="false">IFERROR(_xlfn.MINIFS('Class Export (mapped)'!$L$5:$L$180,'Class Export (mapped)'!$P$5:$P$180,$B8,'Class Export (mapped)'!$Q$5:$Q$180,"Yes"),0)</f>
        <v>122</v>
      </c>
      <c r="I8" s="16" t="n">
        <f aca="false">IFERROR(AVERAGEIFS('Class Export (mapped)'!$L$5:$L$180,'Class Export (mapped)'!$P$5:$P$180,$B8,'Class Export (mapped)'!$Q$5:$Q$180,"Yes"),0)</f>
        <v>142.333333333333</v>
      </c>
      <c r="J8" s="16" t="n">
        <f aca="false">IFERROR(_xlfn.MAXIFS('Class Export (mapped)'!$L$5:$L$180,'Class Export (mapped)'!$P$5:$P$180,$B8,'Class Export (mapped)'!$Q$5:$Q$180,"Yes"),0)</f>
        <v>183</v>
      </c>
      <c r="K8" s="1"/>
      <c r="L8" s="1"/>
    </row>
    <row r="9" customFormat="false" ht="15" hidden="false" customHeight="false" outlineLevel="0" collapsed="false">
      <c r="A9" s="1"/>
      <c r="B9" s="13" t="s">
        <v>122</v>
      </c>
      <c r="C9" s="14" t="n">
        <f aca="false">COUNTIF('Class Export (mapped)'!$P$5:$P$180,$B9)</f>
        <v>2</v>
      </c>
      <c r="D9" s="14" t="n">
        <f aca="false">COUNTIFS('Class Export (mapped)'!$P$5:$P$180,$B9,'Class Export (mapped)'!$Q$5:$Q$180,"Yes")</f>
        <v>2</v>
      </c>
      <c r="E9" s="14" t="n">
        <f aca="false">SUMIF('Class Export (mapped)'!$P$5:$P$180,$B9,'Class Export (mapped)'!$M$5:$M$180)</f>
        <v>10</v>
      </c>
      <c r="F9" s="14" t="n">
        <f aca="false">SUMIF('Class Export (mapped)'!$P$5:$P$180,$B9,'Class Export (mapped)'!$N$5:$N$180)</f>
        <v>12</v>
      </c>
      <c r="G9" s="15" t="n">
        <f aca="false">IFERROR(E9/F9,0)</f>
        <v>0.833333333333333</v>
      </c>
      <c r="H9" s="16" t="n">
        <f aca="false">IFERROR(_xlfn.MINIFS('Class Export (mapped)'!$L$5:$L$180,'Class Export (mapped)'!$P$5:$P$180,$B9,'Class Export (mapped)'!$Q$5:$Q$180,"Yes"),0)</f>
        <v>200</v>
      </c>
      <c r="I9" s="16" t="n">
        <f aca="false">IFERROR(AVERAGEIFS('Class Export (mapped)'!$L$5:$L$180,'Class Export (mapped)'!$P$5:$P$180,$B9,'Class Export (mapped)'!$Q$5:$Q$180,"Yes"),0)</f>
        <v>255</v>
      </c>
      <c r="J9" s="16" t="n">
        <f aca="false">IFERROR(_xlfn.MAXIFS('Class Export (mapped)'!$L$5:$L$180,'Class Export (mapped)'!$P$5:$P$180,$B9,'Class Export (mapped)'!$Q$5:$Q$180,"Yes"),0)</f>
        <v>310</v>
      </c>
      <c r="K9" s="1"/>
      <c r="L9" s="1"/>
    </row>
    <row r="10" customFormat="false" ht="15" hidden="false" customHeight="false" outlineLevel="0" collapsed="false">
      <c r="A10" s="1"/>
      <c r="B10" s="13" t="s">
        <v>74</v>
      </c>
      <c r="C10" s="14" t="n">
        <f aca="false">COUNTIF('Class Export (mapped)'!$P$5:$P$180,$B10)</f>
        <v>18</v>
      </c>
      <c r="D10" s="14" t="n">
        <f aca="false">COUNTIFS('Class Export (mapped)'!$P$5:$P$180,$B10,'Class Export (mapped)'!$Q$5:$Q$180,"Yes")</f>
        <v>7</v>
      </c>
      <c r="E10" s="14" t="n">
        <f aca="false">SUMIF('Class Export (mapped)'!$P$5:$P$180,$B10,'Class Export (mapped)'!$M$5:$M$180)</f>
        <v>288</v>
      </c>
      <c r="F10" s="14" t="n">
        <f aca="false">SUMIF('Class Export (mapped)'!$P$5:$P$180,$B10,'Class Export (mapped)'!$N$5:$N$180)</f>
        <v>517</v>
      </c>
      <c r="G10" s="15" t="n">
        <f aca="false">IFERROR(E10/F10,0)</f>
        <v>0.557059961315281</v>
      </c>
      <c r="H10" s="16" t="n">
        <f aca="false">IFERROR(_xlfn.MINIFS('Class Export (mapped)'!$L$5:$L$180,'Class Export (mapped)'!$P$5:$P$180,$B10,'Class Export (mapped)'!$Q$5:$Q$180,"Yes"),0)</f>
        <v>255</v>
      </c>
      <c r="I10" s="16" t="n">
        <f aca="false">IFERROR(AVERAGEIFS('Class Export (mapped)'!$L$5:$L$180,'Class Export (mapped)'!$P$5:$P$180,$B10,'Class Export (mapped)'!$Q$5:$Q$180,"Yes"),0)</f>
        <v>395.428571428571</v>
      </c>
      <c r="J10" s="16" t="n">
        <f aca="false">IFERROR(_xlfn.MAXIFS('Class Export (mapped)'!$L$5:$L$180,'Class Export (mapped)'!$P$5:$P$180,$B10,'Class Export (mapped)'!$Q$5:$Q$180,"Yes"),0)</f>
        <v>543</v>
      </c>
      <c r="K10" s="1"/>
      <c r="L10" s="1"/>
    </row>
    <row r="11" customFormat="false" ht="15" hidden="false" customHeight="false" outlineLevel="0" collapsed="false">
      <c r="A11" s="1"/>
      <c r="B11" s="13" t="s">
        <v>135</v>
      </c>
      <c r="C11" s="14" t="n">
        <f aca="false">COUNTIF('Class Export (mapped)'!$P$5:$P$180,$B11)</f>
        <v>3</v>
      </c>
      <c r="D11" s="14" t="n">
        <f aca="false">COUNTIFS('Class Export (mapped)'!$P$5:$P$180,$B11,'Class Export (mapped)'!$Q$5:$Q$180,"Yes")</f>
        <v>0</v>
      </c>
      <c r="E11" s="14" t="n">
        <f aca="false">SUMIF('Class Export (mapped)'!$P$5:$P$180,$B11,'Class Export (mapped)'!$M$5:$M$180)</f>
        <v>24</v>
      </c>
      <c r="F11" s="14" t="n">
        <f aca="false">SUMIF('Class Export (mapped)'!$P$5:$P$180,$B11,'Class Export (mapped)'!$N$5:$N$180)</f>
        <v>190</v>
      </c>
      <c r="G11" s="15" t="n">
        <f aca="false">IFERROR(E11/F11,0)</f>
        <v>0.126315789473684</v>
      </c>
      <c r="H11" s="16" t="n">
        <f aca="false">IFERROR(_xlfn.MINIFS('Class Export (mapped)'!$L$5:$L$180,'Class Export (mapped)'!$P$5:$P$180,$B11,'Class Export (mapped)'!$Q$5:$Q$180,"Yes"),0)</f>
        <v>0</v>
      </c>
      <c r="I11" s="16" t="n">
        <f aca="false">IFERROR(AVERAGEIFS('Class Export (mapped)'!$L$5:$L$180,'Class Export (mapped)'!$P$5:$P$180,$B11,'Class Export (mapped)'!$Q$5:$Q$180,"Yes"),0)</f>
        <v>0</v>
      </c>
      <c r="J11" s="16" t="n">
        <f aca="false">IFERROR(_xlfn.MAXIFS('Class Export (mapped)'!$L$5:$L$180,'Class Export (mapped)'!$P$5:$P$180,$B11,'Class Export (mapped)'!$Q$5:$Q$180,"Yes"),0)</f>
        <v>0</v>
      </c>
      <c r="K11" s="1"/>
      <c r="L11" s="1"/>
    </row>
    <row r="12" customFormat="false" ht="15" hidden="false" customHeight="false" outlineLevel="0" collapsed="false">
      <c r="A12" s="1"/>
      <c r="B12" s="17" t="s">
        <v>400</v>
      </c>
      <c r="C12" s="18" t="n">
        <f aca="false">SUM(C5:C10)</f>
        <v>173</v>
      </c>
      <c r="D12" s="18" t="n">
        <f aca="false">SUM(D5:D10)</f>
        <v>140</v>
      </c>
      <c r="E12" s="18" t="n">
        <f aca="false">SUM(E5:E10)</f>
        <v>1006</v>
      </c>
      <c r="F12" s="18" t="n">
        <f aca="false">SUM(F5:F10)</f>
        <v>1557</v>
      </c>
      <c r="G12" s="19" t="n">
        <f aca="false">IFERROR(E12/F12,0)</f>
        <v>0.6461143224149</v>
      </c>
      <c r="H12" s="1"/>
      <c r="I12" s="1"/>
      <c r="J12" s="1"/>
      <c r="K12" s="1"/>
      <c r="L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customFormat="false" ht="15" hidden="false" customHeight="false" outlineLevel="0" collapsed="false">
      <c r="A14" s="1"/>
      <c r="B14" s="5" t="s">
        <v>401</v>
      </c>
      <c r="C14" s="1"/>
      <c r="D14" s="1"/>
      <c r="E14" s="1"/>
      <c r="F14" s="1"/>
      <c r="G14" s="1"/>
      <c r="H14" s="1"/>
      <c r="I14" s="1"/>
      <c r="J14" s="1"/>
      <c r="K14" s="1"/>
      <c r="L14" s="1"/>
    </row>
    <row r="15" customFormat="false" ht="15" hidden="false" customHeight="false" outlineLevel="0" collapsed="false">
      <c r="A15" s="1"/>
      <c r="B15" s="1" t="s">
        <v>402</v>
      </c>
      <c r="C15" s="1"/>
      <c r="D15" s="1"/>
      <c r="E15" s="1"/>
      <c r="F15" s="1"/>
      <c r="G15" s="1"/>
      <c r="H15" s="1"/>
      <c r="I15" s="1"/>
      <c r="J15" s="1"/>
      <c r="K15" s="1"/>
      <c r="L15" s="1"/>
    </row>
    <row r="16" customFormat="false" ht="15" hidden="false" customHeight="false" outlineLevel="0" collapsed="false">
      <c r="A16" s="1"/>
      <c r="B16" s="1" t="s">
        <v>403</v>
      </c>
      <c r="C16" s="1"/>
      <c r="D16" s="1"/>
      <c r="E16" s="1"/>
      <c r="F16" s="1"/>
      <c r="G16" s="1"/>
      <c r="H16" s="1"/>
      <c r="I16" s="1"/>
      <c r="J16" s="1"/>
      <c r="K16" s="1"/>
      <c r="L16" s="1"/>
    </row>
    <row r="17" customFormat="false" ht="15" hidden="false" customHeight="false" outlineLevel="0" collapsed="false">
      <c r="A17" s="1"/>
      <c r="B17" s="1" t="s">
        <v>404</v>
      </c>
      <c r="C17" s="1"/>
      <c r="D17" s="1"/>
      <c r="E17" s="1"/>
      <c r="F17" s="1"/>
      <c r="G17" s="1"/>
      <c r="H17" s="1"/>
      <c r="I17" s="1"/>
      <c r="J17" s="1"/>
      <c r="K17" s="1"/>
      <c r="L17" s="1"/>
    </row>
    <row r="18" customFormat="false" ht="15" hidden="false" customHeight="false" outlineLevel="0" collapsed="false">
      <c r="A18" s="1"/>
      <c r="B18" s="20" t="s">
        <v>405</v>
      </c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44"/>
    <col collapsed="false" customWidth="true" hidden="false" outlineLevel="0" max="6" min="6" style="0" width="10"/>
  </cols>
  <sheetData>
    <row r="1" customFormat="false" ht="16.15" hidden="false" customHeight="false" outlineLevel="0" collapsed="false">
      <c r="A1" s="1"/>
      <c r="B1" s="7" t="s">
        <v>406</v>
      </c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1"/>
      <c r="B4" s="8" t="s">
        <v>50</v>
      </c>
      <c r="C4" s="8" t="s">
        <v>51</v>
      </c>
      <c r="D4" s="8" t="s">
        <v>407</v>
      </c>
      <c r="E4" s="8" t="s">
        <v>408</v>
      </c>
      <c r="F4" s="8" t="s">
        <v>393</v>
      </c>
      <c r="G4" s="1"/>
      <c r="H4" s="1"/>
    </row>
    <row r="5" customFormat="false" ht="15" hidden="false" customHeight="false" outlineLevel="0" collapsed="false">
      <c r="A5" s="1"/>
      <c r="B5" s="21" t="s">
        <v>114</v>
      </c>
      <c r="C5" s="21" t="s">
        <v>327</v>
      </c>
      <c r="D5" s="21" t="s">
        <v>409</v>
      </c>
      <c r="E5" s="22" t="s">
        <v>314</v>
      </c>
      <c r="F5" s="23" t="n">
        <v>36</v>
      </c>
      <c r="G5" s="1"/>
      <c r="H5" s="1"/>
    </row>
    <row r="6" customFormat="false" ht="15" hidden="false" customHeight="false" outlineLevel="0" collapsed="false">
      <c r="A6" s="1"/>
      <c r="B6" s="21" t="s">
        <v>114</v>
      </c>
      <c r="C6" s="21" t="s">
        <v>308</v>
      </c>
      <c r="D6" s="21" t="s">
        <v>409</v>
      </c>
      <c r="E6" s="22" t="s">
        <v>314</v>
      </c>
      <c r="F6" s="23" t="n">
        <v>9</v>
      </c>
      <c r="G6" s="1"/>
      <c r="H6" s="1"/>
    </row>
    <row r="7" customFormat="false" ht="15" hidden="false" customHeight="false" outlineLevel="0" collapsed="false">
      <c r="A7" s="1"/>
      <c r="B7" s="21" t="s">
        <v>114</v>
      </c>
      <c r="C7" s="21" t="s">
        <v>124</v>
      </c>
      <c r="D7" s="21" t="s">
        <v>409</v>
      </c>
      <c r="E7" s="22" t="s">
        <v>177</v>
      </c>
      <c r="F7" s="23" t="n">
        <v>85</v>
      </c>
      <c r="G7" s="1"/>
      <c r="H7" s="1"/>
    </row>
    <row r="8" customFormat="false" ht="15" hidden="false" customHeight="false" outlineLevel="0" collapsed="false">
      <c r="A8" s="1"/>
      <c r="B8" s="21" t="s">
        <v>114</v>
      </c>
      <c r="C8" s="21" t="s">
        <v>115</v>
      </c>
      <c r="D8" s="21" t="s">
        <v>409</v>
      </c>
      <c r="E8" s="22" t="s">
        <v>150</v>
      </c>
      <c r="F8" s="23" t="n">
        <v>11</v>
      </c>
      <c r="G8" s="1"/>
      <c r="H8" s="1"/>
    </row>
    <row r="9" customFormat="false" ht="15" hidden="false" customHeight="false" outlineLevel="0" collapsed="false">
      <c r="A9" s="1"/>
      <c r="B9" s="21" t="s">
        <v>114</v>
      </c>
      <c r="C9" s="21" t="s">
        <v>372</v>
      </c>
      <c r="D9" s="21" t="s">
        <v>409</v>
      </c>
      <c r="E9" s="22" t="s">
        <v>375</v>
      </c>
      <c r="F9" s="23" t="n">
        <v>12</v>
      </c>
      <c r="G9" s="1"/>
      <c r="H9" s="1"/>
    </row>
    <row r="10" customFormat="false" ht="15" hidden="false" customHeight="false" outlineLevel="0" collapsed="false">
      <c r="A10" s="1"/>
      <c r="B10" s="21" t="s">
        <v>114</v>
      </c>
      <c r="C10" s="21" t="s">
        <v>124</v>
      </c>
      <c r="D10" s="21" t="s">
        <v>125</v>
      </c>
      <c r="E10" s="22" t="s">
        <v>122</v>
      </c>
      <c r="F10" s="23" t="n">
        <v>1</v>
      </c>
      <c r="G10" s="1"/>
      <c r="H10" s="1"/>
    </row>
    <row r="11" customFormat="false" ht="15" hidden="false" customHeight="false" outlineLevel="0" collapsed="false">
      <c r="A11" s="1"/>
      <c r="B11" s="21" t="s">
        <v>114</v>
      </c>
      <c r="C11" s="21" t="s">
        <v>115</v>
      </c>
      <c r="D11" s="21" t="s">
        <v>116</v>
      </c>
      <c r="E11" s="22" t="s">
        <v>122</v>
      </c>
      <c r="F11" s="23" t="n">
        <v>1</v>
      </c>
      <c r="G11" s="1"/>
      <c r="H11" s="1"/>
    </row>
    <row r="12" customFormat="false" ht="15" hidden="false" customHeight="false" outlineLevel="0" collapsed="false">
      <c r="A12" s="1"/>
      <c r="B12" s="21" t="s">
        <v>67</v>
      </c>
      <c r="C12" s="21" t="s">
        <v>410</v>
      </c>
      <c r="D12" s="21" t="s">
        <v>409</v>
      </c>
      <c r="E12" s="22" t="s">
        <v>74</v>
      </c>
      <c r="F12" s="23" t="n">
        <v>18</v>
      </c>
      <c r="G12" s="1"/>
      <c r="H12" s="1"/>
    </row>
    <row r="13" customFormat="false" ht="15" hidden="false" customHeight="false" outlineLevel="0" collapsed="false">
      <c r="A13" s="1"/>
      <c r="B13" s="21" t="s">
        <v>131</v>
      </c>
      <c r="C13" s="21" t="s">
        <v>410</v>
      </c>
      <c r="D13" s="21" t="s">
        <v>409</v>
      </c>
      <c r="E13" s="22" t="s">
        <v>135</v>
      </c>
      <c r="F13" s="23" t="n">
        <v>3</v>
      </c>
      <c r="G13" s="1"/>
      <c r="H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</row>
    <row r="15" customFormat="false" ht="15" hidden="false" customHeight="false" outlineLevel="0" collapsed="false">
      <c r="A15" s="1"/>
      <c r="B15" s="24" t="s">
        <v>411</v>
      </c>
      <c r="C15" s="1"/>
      <c r="D15" s="1"/>
      <c r="E15" s="1"/>
      <c r="F15" s="1"/>
      <c r="G15" s="1"/>
      <c r="H15" s="1"/>
    </row>
    <row r="16" customFormat="false" ht="15" hidden="false" customHeight="false" outlineLevel="0" collapsed="false">
      <c r="A16" s="1"/>
      <c r="B16" s="1" t="s">
        <v>412</v>
      </c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/>
      <c r="B17" s="1" t="s">
        <v>413</v>
      </c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2026-08-04T14:10:42Z</dcterms:created>
  <dc:creator>openpyxl</dc:creator>
  <dc:description/>
  <dc:language>en-US</dc:language>
  <cp:lastModifiedBy/>
  <dcterms:modified xsi:type="dcterms:W3CDTF">2026-08-04T14:10:42Z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