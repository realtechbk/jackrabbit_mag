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5f25a57fcf03a4/Desktop/working/RealTech/Clients/Maine Academy of Gymnastic/Output/"/>
    </mc:Choice>
  </mc:AlternateContent>
  <xr:revisionPtr revIDLastSave="4" documentId="11_D0426847131395D8FFEEA8805D3EC8A13E0D7A63" xr6:coauthVersionLast="47" xr6:coauthVersionMax="47" xr10:uidLastSave="{34AF0CCA-A20C-4CB9-9985-00E9F9D39C63}"/>
  <bookViews>
    <workbookView xWindow="-120" yWindow="-120" windowWidth="29040" windowHeight="15720" tabRatio="500" xr2:uid="{00000000-000D-0000-FFFF-FFFF00000000}"/>
  </bookViews>
  <sheets>
    <sheet name="Service Performance" sheetId="1" r:id="rId1"/>
    <sheet name="Store Detail" sheetId="2" r:id="rId2"/>
    <sheet name="Service Defini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6" i="1" l="1"/>
  <c r="N36" i="1"/>
  <c r="M36" i="1"/>
  <c r="L36" i="1"/>
  <c r="I36" i="1"/>
  <c r="G36" i="1"/>
  <c r="K36" i="1" s="1"/>
  <c r="F36" i="1"/>
  <c r="J36" i="1" s="1"/>
  <c r="E36" i="1"/>
  <c r="D36" i="1"/>
  <c r="H36" i="1" s="1"/>
  <c r="O35" i="1"/>
  <c r="O40" i="1" s="1"/>
  <c r="N35" i="1"/>
  <c r="N40" i="1" s="1"/>
  <c r="M35" i="1"/>
  <c r="M40" i="1" s="1"/>
  <c r="L35" i="1"/>
  <c r="L40" i="1" s="1"/>
  <c r="X34" i="1"/>
  <c r="S34" i="1"/>
  <c r="AA34" i="1" s="1"/>
  <c r="R34" i="1"/>
  <c r="Z34" i="1" s="1"/>
  <c r="Q34" i="1"/>
  <c r="Y34" i="1" s="1"/>
  <c r="P34" i="1"/>
  <c r="K34" i="1"/>
  <c r="J34" i="1"/>
  <c r="I34" i="1"/>
  <c r="H34" i="1"/>
  <c r="S33" i="1"/>
  <c r="AA33" i="1" s="1"/>
  <c r="R33" i="1"/>
  <c r="Z33" i="1" s="1"/>
  <c r="Q33" i="1"/>
  <c r="Y33" i="1" s="1"/>
  <c r="P33" i="1"/>
  <c r="X33" i="1" s="1"/>
  <c r="K33" i="1"/>
  <c r="J33" i="1"/>
  <c r="I33" i="1"/>
  <c r="H33" i="1"/>
  <c r="AA32" i="1"/>
  <c r="Z32" i="1"/>
  <c r="S32" i="1"/>
  <c r="R32" i="1"/>
  <c r="Q32" i="1"/>
  <c r="Y32" i="1" s="1"/>
  <c r="P32" i="1"/>
  <c r="X32" i="1" s="1"/>
  <c r="K32" i="1"/>
  <c r="J32" i="1"/>
  <c r="I32" i="1"/>
  <c r="H32" i="1"/>
  <c r="AA31" i="1"/>
  <c r="Z31" i="1"/>
  <c r="Y31" i="1"/>
  <c r="S31" i="1"/>
  <c r="R31" i="1"/>
  <c r="Q31" i="1"/>
  <c r="P31" i="1"/>
  <c r="X31" i="1" s="1"/>
  <c r="K31" i="1"/>
  <c r="J31" i="1"/>
  <c r="I31" i="1"/>
  <c r="H31" i="1"/>
  <c r="X30" i="1"/>
  <c r="S30" i="1"/>
  <c r="AA30" i="1" s="1"/>
  <c r="R30" i="1"/>
  <c r="Z30" i="1" s="1"/>
  <c r="Q30" i="1"/>
  <c r="Y30" i="1" s="1"/>
  <c r="P30" i="1"/>
  <c r="K30" i="1"/>
  <c r="J30" i="1"/>
  <c r="I30" i="1"/>
  <c r="H30" i="1"/>
  <c r="S29" i="1"/>
  <c r="AA29" i="1" s="1"/>
  <c r="R29" i="1"/>
  <c r="Z29" i="1" s="1"/>
  <c r="Q29" i="1"/>
  <c r="Y29" i="1" s="1"/>
  <c r="P29" i="1"/>
  <c r="X29" i="1" s="1"/>
  <c r="K29" i="1"/>
  <c r="J29" i="1"/>
  <c r="I29" i="1"/>
  <c r="H29" i="1"/>
  <c r="AA28" i="1"/>
  <c r="Z28" i="1"/>
  <c r="S28" i="1"/>
  <c r="R28" i="1"/>
  <c r="Q28" i="1"/>
  <c r="Y28" i="1" s="1"/>
  <c r="P28" i="1"/>
  <c r="X28" i="1" s="1"/>
  <c r="K28" i="1"/>
  <c r="J28" i="1"/>
  <c r="I28" i="1"/>
  <c r="H28" i="1"/>
  <c r="AA27" i="1"/>
  <c r="Z27" i="1"/>
  <c r="Y27" i="1"/>
  <c r="S27" i="1"/>
  <c r="R27" i="1"/>
  <c r="Q27" i="1"/>
  <c r="P27" i="1"/>
  <c r="X27" i="1" s="1"/>
  <c r="K27" i="1"/>
  <c r="J27" i="1"/>
  <c r="I27" i="1"/>
  <c r="H27" i="1"/>
  <c r="X26" i="1"/>
  <c r="S26" i="1"/>
  <c r="AA26" i="1" s="1"/>
  <c r="R26" i="1"/>
  <c r="Z26" i="1" s="1"/>
  <c r="Q26" i="1"/>
  <c r="Y26" i="1" s="1"/>
  <c r="P26" i="1"/>
  <c r="J26" i="1"/>
  <c r="G26" i="1"/>
  <c r="K26" i="1" s="1"/>
  <c r="F26" i="1"/>
  <c r="E26" i="1"/>
  <c r="I26" i="1" s="1"/>
  <c r="D26" i="1"/>
  <c r="H26" i="1" s="1"/>
  <c r="X25" i="1"/>
  <c r="S25" i="1"/>
  <c r="AA25" i="1" s="1"/>
  <c r="R25" i="1"/>
  <c r="Z25" i="1" s="1"/>
  <c r="Q25" i="1"/>
  <c r="Y25" i="1" s="1"/>
  <c r="P25" i="1"/>
  <c r="K25" i="1"/>
  <c r="J25" i="1"/>
  <c r="I25" i="1"/>
  <c r="H25" i="1"/>
  <c r="S24" i="1"/>
  <c r="AA24" i="1" s="1"/>
  <c r="R24" i="1"/>
  <c r="Z24" i="1" s="1"/>
  <c r="Q24" i="1"/>
  <c r="Y24" i="1" s="1"/>
  <c r="P24" i="1"/>
  <c r="X24" i="1" s="1"/>
  <c r="K24" i="1"/>
  <c r="J24" i="1"/>
  <c r="I24" i="1"/>
  <c r="H24" i="1"/>
  <c r="AA23" i="1"/>
  <c r="Z23" i="1"/>
  <c r="S23" i="1"/>
  <c r="R23" i="1"/>
  <c r="Q23" i="1"/>
  <c r="Y23" i="1" s="1"/>
  <c r="P23" i="1"/>
  <c r="X23" i="1" s="1"/>
  <c r="K23" i="1"/>
  <c r="J23" i="1"/>
  <c r="I23" i="1"/>
  <c r="H23" i="1"/>
  <c r="AA22" i="1"/>
  <c r="Z22" i="1"/>
  <c r="Y22" i="1"/>
  <c r="S22" i="1"/>
  <c r="R22" i="1"/>
  <c r="Q22" i="1"/>
  <c r="P22" i="1"/>
  <c r="X22" i="1" s="1"/>
  <c r="K22" i="1"/>
  <c r="J22" i="1"/>
  <c r="I22" i="1"/>
  <c r="H22" i="1"/>
  <c r="X21" i="1"/>
  <c r="S21" i="1"/>
  <c r="AA21" i="1" s="1"/>
  <c r="R21" i="1"/>
  <c r="Z21" i="1" s="1"/>
  <c r="Q21" i="1"/>
  <c r="Y21" i="1" s="1"/>
  <c r="P21" i="1"/>
  <c r="K21" i="1"/>
  <c r="J21" i="1"/>
  <c r="I21" i="1"/>
  <c r="H21" i="1"/>
  <c r="S20" i="1"/>
  <c r="AA20" i="1" s="1"/>
  <c r="R20" i="1"/>
  <c r="Z20" i="1" s="1"/>
  <c r="Q20" i="1"/>
  <c r="Y20" i="1" s="1"/>
  <c r="P20" i="1"/>
  <c r="X20" i="1" s="1"/>
  <c r="K20" i="1"/>
  <c r="J20" i="1"/>
  <c r="I20" i="1"/>
  <c r="H20" i="1"/>
  <c r="AA19" i="1"/>
  <c r="Z19" i="1"/>
  <c r="S19" i="1"/>
  <c r="R19" i="1"/>
  <c r="Q19" i="1"/>
  <c r="Y19" i="1" s="1"/>
  <c r="P19" i="1"/>
  <c r="X19" i="1" s="1"/>
  <c r="K19" i="1"/>
  <c r="J19" i="1"/>
  <c r="I19" i="1"/>
  <c r="H19" i="1"/>
  <c r="AA18" i="1"/>
  <c r="Z18" i="1"/>
  <c r="Y18" i="1"/>
  <c r="S18" i="1"/>
  <c r="R18" i="1"/>
  <c r="Q18" i="1"/>
  <c r="P18" i="1"/>
  <c r="X18" i="1" s="1"/>
  <c r="K18" i="1"/>
  <c r="J18" i="1"/>
  <c r="I18" i="1"/>
  <c r="H18" i="1"/>
  <c r="X17" i="1"/>
  <c r="X35" i="1" s="1"/>
  <c r="S17" i="1"/>
  <c r="S35" i="1" s="1"/>
  <c r="R17" i="1"/>
  <c r="R35" i="1" s="1"/>
  <c r="Q17" i="1"/>
  <c r="Q35" i="1" s="1"/>
  <c r="P17" i="1"/>
  <c r="P35" i="1" s="1"/>
  <c r="K17" i="1"/>
  <c r="J17" i="1"/>
  <c r="I17" i="1"/>
  <c r="H17" i="1"/>
  <c r="G10" i="1"/>
  <c r="F10" i="1"/>
  <c r="E10" i="1"/>
  <c r="D10" i="1"/>
  <c r="G9" i="1"/>
  <c r="F9" i="1"/>
  <c r="E9" i="1"/>
  <c r="D9" i="1"/>
  <c r="G8" i="1"/>
  <c r="F8" i="1"/>
  <c r="E8" i="1"/>
  <c r="D8" i="1"/>
  <c r="D14" i="1" l="1"/>
  <c r="D13" i="1"/>
  <c r="T35" i="1"/>
  <c r="D12" i="1"/>
  <c r="U35" i="1"/>
  <c r="E12" i="1"/>
  <c r="V35" i="1"/>
  <c r="F12" i="1"/>
  <c r="W35" i="1"/>
  <c r="G12" i="1"/>
  <c r="Y17" i="1"/>
  <c r="Y35" i="1" s="1"/>
  <c r="Z17" i="1"/>
  <c r="Z35" i="1" s="1"/>
  <c r="AA17" i="1"/>
  <c r="AA35" i="1" s="1"/>
  <c r="G13" i="1" l="1"/>
  <c r="G14" i="1"/>
  <c r="F14" i="1"/>
  <c r="F13" i="1"/>
  <c r="E14" i="1"/>
  <c r="E13" i="1"/>
</calcChain>
</file>

<file path=xl/sharedStrings.xml><?xml version="1.0" encoding="utf-8"?>
<sst xmlns="http://schemas.openxmlformats.org/spreadsheetml/2006/main" count="268" uniqueCount="178">
  <si>
    <t>Maine Academy of Gymnastics</t>
  </si>
  <si>
    <t>Service Line Performance — 2023 / 2024 / 2025 / 2026 YTD</t>
  </si>
  <si>
    <t>REVENUE: Jackrabbit Revenue Summary, one report per period. All four reconcile to their stated totals with zero variance.  UNITS: Class/Event Revenue Summary (class rows, de-duplicated) and Sales Detail (Pro Shop, lessons, certificates).</t>
  </si>
  <si>
    <t>2026 covers 1 Jan to 28 Jul only. Class-enrolment units are BLANK for 2026 because that report's enrolment window runs 1/1/2025-7/28/2026 (19 months) and is not comparable. Revenue for 2026 is correct.</t>
  </si>
  <si>
    <t>THE UNIT DIFFERS BY ROW. Never sum the Units columns top to bottom — see the Unit column and the Service Definitions tab.</t>
  </si>
  <si>
    <t>2023</t>
  </si>
  <si>
    <t>2024</t>
  </si>
  <si>
    <t>2025</t>
  </si>
  <si>
    <t>2026 YTD</t>
  </si>
  <si>
    <t>Class enrolments (comparable rows)</t>
  </si>
  <si>
    <t>Total Revenue</t>
  </si>
  <si>
    <t>Revenue per class enrolment</t>
  </si>
  <si>
    <t>Cost of Sales (as a % of Revenue)</t>
  </si>
  <si>
    <t>Gross Profit</t>
  </si>
  <si>
    <t>Gross Profit (as a % of Revenue)</t>
  </si>
  <si>
    <t>Product/Service</t>
  </si>
  <si>
    <t>Unit</t>
  </si>
  <si>
    <t># Units Sold</t>
  </si>
  <si>
    <t>Revenue per Unit</t>
  </si>
  <si>
    <t>Total Cost of Sales</t>
  </si>
  <si>
    <t>Cost of Sales %</t>
  </si>
  <si>
    <t>Total Gross Profit</t>
  </si>
  <si>
    <t>Recreational -- Preschool (The Jungle)</t>
  </si>
  <si>
    <t>enrolment</t>
  </si>
  <si>
    <t>Recreational -- Girls Wings</t>
  </si>
  <si>
    <t>Recreational -- Boys Wings</t>
  </si>
  <si>
    <t>Recreational -- Tumbling</t>
  </si>
  <si>
    <t>Recreational -- Workshops &amp; Class Series</t>
  </si>
  <si>
    <t>Recreational -- Unlinked Tuition</t>
  </si>
  <si>
    <t>n/a</t>
  </si>
  <si>
    <t>Competitive -- Pre-Team</t>
  </si>
  <si>
    <t>Competitive -- American Flyers Teams</t>
  </si>
  <si>
    <t>Ancillary -- Open Gym</t>
  </si>
  <si>
    <t>booking</t>
  </si>
  <si>
    <t>Ancillary -- Annual Membership Fees</t>
  </si>
  <si>
    <t>membership</t>
  </si>
  <si>
    <t>Ancillary -- Birthday Parties</t>
  </si>
  <si>
    <t>party</t>
  </si>
  <si>
    <t>Ancillary -- Pro Shop</t>
  </si>
  <si>
    <t>item sold</t>
  </si>
  <si>
    <t>Ancillary -- Private Lessons</t>
  </si>
  <si>
    <t>lesson</t>
  </si>
  <si>
    <t>Ancillary -- Gift Certificates</t>
  </si>
  <si>
    <t>certificate</t>
  </si>
  <si>
    <t>Ancillary -- Non-Instructional Time</t>
  </si>
  <si>
    <t>Other -- Tumble (stray Cat1)</t>
  </si>
  <si>
    <t>Review -- Unapplied Payments</t>
  </si>
  <si>
    <t>EXCLUDE -- Staff</t>
  </si>
  <si>
    <t>TOTAL REVENUE — all lines</t>
  </si>
  <si>
    <t>—</t>
  </si>
  <si>
    <t>Subtotal — class enrolments only (comparable)</t>
  </si>
  <si>
    <t>RECONCILIATION</t>
  </si>
  <si>
    <t>Report stated total</t>
  </si>
  <si>
    <t>Variance (must be zero)</t>
  </si>
  <si>
    <t>HOW TO USE THIS SHEET</t>
  </si>
  <si>
    <t>Fill the BLUE cells: # Units Sold, Total Revenue, Cost of Sales %. Everything else calculates.</t>
  </si>
  <si>
    <t>Grey units cells mean no count is available for that row and period. Membership units are a formula (revenue / $45).</t>
  </si>
  <si>
    <t>UNITS ARE NOT COMPARABLE ACROSS ROWS. A class enrolment, an Open Gym booking, a party and a leotard are</t>
  </si>
  <si>
    <t>different things. The TOTAL row shows a dash for units; the subtotal beneath covers class-enrolment rows only.</t>
  </si>
  <si>
    <t>Cost of Sales is not in Jackrabbit. For class rows it is coach labour (hourly rate x class hours) from payroll.</t>
  </si>
  <si>
    <t>Pro Shop is the exception — its cost of sales is inventory purchase cost. Treat that row separately.</t>
  </si>
  <si>
    <t>See 'Store Detail' for Falmouth Rec, visiting-team rental, flex passes and late fees — real revenue that could not</t>
  </si>
  <si>
    <t>be placed on this grid because its Jackrabbit revenue category could not be verified.</t>
  </si>
  <si>
    <t>See 'Service Definitions' for what each row contains, what one unit means, and the open data-quality items.</t>
  </si>
  <si>
    <t>Store Detail — item-level lines not on the main grid</t>
  </si>
  <si>
    <t>Source: Jackrabbit Sales Detail reports, 2023-2026 YTD. Quantities and revenue are as reported by the Store module.</t>
  </si>
  <si>
    <t>These are on the STORE basis and are NOT added into the main grid total. Store revenue does not tie exactly to the Revenue Summary categories, so double-counting would result.</t>
  </si>
  <si>
    <t>Store line</t>
  </si>
  <si>
    <t>Quantity</t>
  </si>
  <si>
    <t>Revenue</t>
  </si>
  <si>
    <t>Notes</t>
  </si>
  <si>
    <t>Falmouth Rec (contract programme)</t>
  </si>
  <si>
    <t>billing</t>
  </si>
  <si>
    <t>Bulk-billed in one or two lines a year. Declining then gone in 2026. Looks like a contract with Falmouth's recreation department — a B2B channel, not retail. Does NOT appear anywhere in the Revenue Summary by name, so its Cat1 could not be verified. Most likely inside Recreational Unlinked Tuition (which is $21,708 in 2023).</t>
  </si>
  <si>
    <t>Visiting team gym rental</t>
  </si>
  <si>
    <t>rental</t>
  </si>
  <si>
    <t>Facility hire to visiting teams. Near-zero marginal cost. Revenue Summary shows only $1,192 (2023) and $80 (2025) under Cat1 Team by this name, so most of it posts elsewhere unnamed.</t>
  </si>
  <si>
    <t>Summer Flex Passes</t>
  </si>
  <si>
    <t>pass</t>
  </si>
  <si>
    <t>NEW IN 2026 — Red, Blue, White and First Flight variants. May be cannibalising Open Gym. Worth watching.</t>
  </si>
  <si>
    <t>Late fees</t>
  </si>
  <si>
    <t>charge</t>
  </si>
  <si>
    <t>Rising sharply: 8 to 46 charges. Consistent with the growing unapplied-payments balance. Collections are drifting.</t>
  </si>
  <si>
    <t>Xcel clinic</t>
  </si>
  <si>
    <t>place</t>
  </si>
  <si>
    <t>One-off Xcel Regionals prep clinic in 2024.</t>
  </si>
  <si>
    <t>Birthday parties — base</t>
  </si>
  <si>
    <t>Cross-validates the Class/Event report, which independently showed 112 parties in 2023. Discontinued after 2024.</t>
  </si>
  <si>
    <t>Birthday parties — extra child</t>
  </si>
  <si>
    <t>child</t>
  </si>
  <si>
    <t>Roughly 2 extra children per party, at $10 each.</t>
  </si>
  <si>
    <t>Birthday parties — tips</t>
  </si>
  <si>
    <t>tip</t>
  </si>
  <si>
    <t>Tips collected on parties. Averaged about $41 per party in 2023.</t>
  </si>
  <si>
    <t>Team apparel (all SKUs)</t>
  </si>
  <si>
    <t>Team Leos, Champion jackets and leggings, backpacks, competition tanks. Posts under Cat1 TEAM, not ProShop — which is why Store merchandise does not tie to the Pro Shop row. Already inside the Teams revenue line.</t>
  </si>
  <si>
    <t>Retail merchandise (excl. team kit)</t>
  </si>
  <si>
    <t>This is the basis for the Pro Shop units on the main grid. Units up 58% over two years while average item value fell from $35.66 to $34.59 — volume growth partly from Summer Clearance $10/$15 SKUs added in 2025.</t>
  </si>
  <si>
    <t>of which: Destira leotards</t>
  </si>
  <si>
    <t>The core uniform SKU. $40 plus 5.5% Maine sales tax = the $42.20 that recurs across dozens of classes. Biggest single retail line by far, and it grows every year.</t>
  </si>
  <si>
    <t>Annual membership (via Store)</t>
  </si>
  <si>
    <t>The $45 fee sold through the Store. Lower than the Cat1 Annual Membership total ($58,294 in 2023), so membership is also billed by other routes. Do not use this as the student count.</t>
  </si>
  <si>
    <t>WHY FALMOUTH REC AND VISITING-TEAM RENTAL ARE NOT ON THE MAIN GRID</t>
  </si>
  <si>
    <t>Both are real revenue with genuinely different economics, and both should eventually be service rows. The blocker is</t>
  </si>
  <si>
    <t>attribution: neither appears by name in the Revenue Summary, so their Jackrabbit revenue category is unknown. Adding</t>
  </si>
  <si>
    <t>them to the grid would mean reducing some other row by an unverified amount, which would break the reconciliation.</t>
  </si>
  <si>
    <t>THE ONE LOOKUP THAT FIXES THIS: in Jackrabbit go to Store &gt; item setup and check which revenue category the</t>
  </si>
  <si>
    <t>FALREC and VTM items are mapped to. Once that is known both can be promoted to the main grid properly, and it may</t>
  </si>
  <si>
    <t>also explain a large share of the Recreational Unlinked Tuition bucket — Falmouth Rec alone is $8,258 in 2023,</t>
  </si>
  <si>
    <t>about 38% of that year's unlinked total.</t>
  </si>
  <si>
    <t>Source: Jackrabbit Sales Detail 2023, 2024, 2025 and 2026 YTD (to 27 July 2026), 81 distinct item numbers.</t>
  </si>
  <si>
    <t>Service Definitions</t>
  </si>
  <si>
    <t>Rows come from Category 1 / Category 2 in the Jackrabbit Revenue Summary. The unit differs by row — that is deliberate.</t>
  </si>
  <si>
    <t>Service Row</t>
  </si>
  <si>
    <t>Jackrabbit source</t>
  </si>
  <si>
    <t>What one unit is</t>
  </si>
  <si>
    <t>Notes, 2023-2026 YTD</t>
  </si>
  <si>
    <t>Cat1 Recreational + Cat2 Pre-School or Parent-Child</t>
  </si>
  <si>
    <t>One child in one preschool class for one session.</t>
  </si>
  <si>
    <t>1,151 / 1,119 / 1,071 units. $343k / $382k / $367k / $195k. Units down 7% over two years. The funnel feeder for every other line, so the decline matters more than its size.</t>
  </si>
  <si>
    <t>Cat1 Recreational + Cat2 Rec Girls</t>
  </si>
  <si>
    <t>One girl in one class for one session. A student in two classes counts twice.</t>
  </si>
  <si>
    <t>2,090 / 2,517 / 2,440 units. $748k / $1,000k / $975k / $506k. 43.5% of 2025 revenue - the largest line. Absorbs pre-team girls from 2024, so 2024 growth is slightly overstated.</t>
  </si>
  <si>
    <t>Cat1 Recreational + Cat2 Rec Boys</t>
  </si>
  <si>
    <t>One boy in one class for one session.</t>
  </si>
  <si>
    <t>277 / 247 / 239 units with revenue flat at ~$86k. Three consecutive unit declines - charging more to fewer students. Only 21 class records vs 163 for girls, at 51.6% fill.</t>
  </si>
  <si>
    <t>Cat1 Recreational + Cat2 Tumble (Combined)</t>
  </si>
  <si>
    <t>One student in one tumbling class for one session.</t>
  </si>
  <si>
    <t>332 / 433 / 334 units. Spiked then fell back. Best fill rate in the current class list at 81.6%, so there may be room to add capacity.</t>
  </si>
  <si>
    <t>Cat1 Recreational, Cat2 BLANK</t>
  </si>
  <si>
    <t>One student in one workshop or summer series.</t>
  </si>
  <si>
    <t>128 units / $3,134 in 2025 - a new short-format offering (3 Summer Tumble series, 3 Summer Wings series, 2 Bar Workshops). ~$24 per unit because priced per session. TAGGING NOTE: no Category 2 set; setting it moves ~$1,364 to Tumbling and ~$1,770 to Girls Wings.</t>
  </si>
  <si>
    <t>Cat1 Recreational, activity 'No Activity Name'</t>
  </si>
  <si>
    <t>No unit - no class record exists to enrol against.</t>
  </si>
  <si>
    <t>$21,708 / $27,214 / $16,503 / $9,444 - DOWN 54% from the 2024 peak, so hygiene is improving. Note Falmouth Rec ($8,258 in 2023) may sit inside this bucket - see Store Detail.</t>
  </si>
  <si>
    <t>Cat1 Recreational + Cat2 Pre-Team (Invite Only)</t>
  </si>
  <si>
    <t>One athlete in one pre-team class.</t>
  </si>
  <si>
    <t>41 units / $26,248 in 2023 at $640 per unit - the HIGHEST unit value in the business, roughly double the rec average. The Cat2 exists in 2023 only; from 2024 these athletes sit inside the Wings rows.</t>
  </si>
  <si>
    <t>Cat1 Team</t>
  </si>
  <si>
    <t>One athlete in one team activity. Counts billing groups AND meet entries, so it double-counts athletes.</t>
  </si>
  <si>
    <t>1,792 / 1,878 / 2,129 units. Units up 13.4% in 2025 while revenue per unit FELL from $294 to $265 - more meet participation, which is pass-through at near-zero margin. In 2023 only $377,627 was tuition; $140,104 was meet entry fees. Also contains team apparel (~$11k).</t>
  </si>
  <si>
    <t>Cat1 Open Gym</t>
  </si>
  <si>
    <t>One prepaid session booking.</t>
  </si>
  <si>
    <t>2,364 / 1,849 / 2,114 bookings at a flat ~$13. Highest unit count, lowest unit value. Marginal cost is supervision only, so margin should be well above the tuition rows. Watch the new 2026 Flex Passes for cannibalisation.</t>
  </si>
  <si>
    <t>Cat1 Annual Membership</t>
  </si>
  <si>
    <t>One membership - the $45 annual fee, one per student per year.</t>
  </si>
  <si>
    <t>$58,294 / $61,640 / $52,777 / $21,575. Units are a FORMULA (revenue / 45). Essentially 100% margin. CAUTION: implies a 14% fall in students in 2025, which the class enrolment data contradicts - treat as a billing-timing artefact, NOT a headcount measure.</t>
  </si>
  <si>
    <t>Cat1 Birthday Parties</t>
  </si>
  <si>
    <t>One party booked.</t>
  </si>
  <si>
    <t>112 / 54 parties then nil. $45,767 / $19,038. Wound down to nothing and the category disappears in 2025. Was 2.3% of revenue with almost no coach cost. Store data adds detail: ~2 extra children per party at $10, plus ~$41 of tips per party.</t>
  </si>
  <si>
    <t>Cat1 ProShop</t>
  </si>
  <si>
    <t>One item sold, from the Sales Detail report.</t>
  </si>
  <si>
    <t>660 / 789 / 1,042 / 438 items. $28,032 / $28,790 / $34,975 / $15,754. Units up 58% while average item value fell $35.66 to $34.59 - volume growth partly from Summer Clearance SKUs. Destira leotard at $40 + 5.5% tax = $42.20 is the core SKU. THIS IS THE ONE ROW WHERE COST OF SALES IS INVENTORY COST, NOT COACH LABOUR. Team apparel is excluded - it posts under Cat1 Team.</t>
  </si>
  <si>
    <t>Cat1 Private Lessons</t>
  </si>
  <si>
    <t>One lesson, from the Sales Detail report (1hr, 45min, 30min and semi-private).</t>
  </si>
  <si>
    <t>63 / 110 / 111 / 80 lessons. $3,816 / $5,645 / $8,318 / $6,056 - up 118% over two years. Store counts cover most but not all of the revenue, so units are indicative. Premium one-to-one delivery, constrained by coach time.</t>
  </si>
  <si>
    <t>Cat1 Gift Certificate</t>
  </si>
  <si>
    <t>One certificate sold.</t>
  </si>
  <si>
    <t>11 / 6 certificates. $310 / $270, then discontinued alongside Birthday Parties. Store revenue matches the Cat1 total exactly, which is a useful cross-check that Store items do map to categories.</t>
  </si>
  <si>
    <t>Cat1 Non-Instructional time</t>
  </si>
  <si>
    <t>No meaningful unit.</t>
  </si>
  <si>
    <t>$340 in 2025 only. A new category - worth asking what it is before it grows.</t>
  </si>
  <si>
    <t>Cat1 Tumble</t>
  </si>
  <si>
    <t>No unit.</t>
  </si>
  <si>
    <t>$17.80 in 2025. A mis-tag; belongs under Recreational + Tumble (Combined). Trivial, but a symptom of the same category discipline issue.</t>
  </si>
  <si>
    <t>Cat1 --Unapplied Payments--</t>
  </si>
  <si>
    <t>No unit - cash received but not applied to any fee.</t>
  </si>
  <si>
    <t>$172 / -$100 / $11,921 / $12,818. GETTING WORSE, and consistent with late fees rising from 8 to 46 charges. Real money sitting unallocated on family accounts. Use Family Balance Summary and Aged Accounts Details to clear it.</t>
  </si>
  <si>
    <t>Cat1 Staff</t>
  </si>
  <si>
    <t>No unit - internal transactions.</t>
  </si>
  <si>
    <t>$2,660 / $10,227 / $3,825 / $1,998. Not customer revenue; exclude from any operating view. The 2024 spike needs an explanation.</t>
  </si>
  <si>
    <t>Why the unit differs by row</t>
  </si>
  <si>
    <t>A gym sells several different things. Classes sell enrolments, Open Gym sells session bookings, the shop sells items, and</t>
  </si>
  <si>
    <t>the membership fee sells one membership per student per year. Forcing all of those into one 'transactions' count would</t>
  </si>
  <si>
    <t>measure billing cadence rather than demand - a student enrolled ten months generates ten charges and one enrolment.</t>
  </si>
  <si>
    <t>Consequence: never sum the Units columns, and compare Revenue per Unit only between rows sharing a unit.</t>
  </si>
  <si>
    <t>Sources: Revenue Summary (revenue), Class/Event Revenue Summary (class units, de-duplicated on Class + Session +</t>
  </si>
  <si>
    <t>Category 3), Sales Detail (Pro Shop, lessons, certificates). All run 28 July 2026. All four periods reconcile exactly.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</si>
</sst>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\$#,##0.00;&quot;($&quot;#,##0.00\);\-"/>
    <numFmt numFmtId="166" formatCode="\$#,##0;&quot;($&quot;#,##0\);\-"/>
    <numFmt numFmtId="167" formatCode="0.0%;\(0.0%\);\-"/>
  </numFmts>
  <fonts count="20" x14ac:knownFonts="1">
    <font>
      <sz val="11"/>
      <color theme="1"/>
      <name val="Calibri"/>
      <family val="2"/>
      <charset val="1"/>
    </font>
    <font>
      <sz val="10"/>
      <color rgb="FFFFFFFF"/>
      <name val="Arial"/>
      <charset val="1"/>
    </font>
    <font>
      <b/>
      <sz val="16"/>
      <color rgb="FFFFFFFF"/>
      <name val="Arial"/>
      <charset val="1"/>
    </font>
    <font>
      <sz val="11"/>
      <color rgb="FFC9D1E0"/>
      <name val="Arial"/>
      <charset val="1"/>
    </font>
    <font>
      <i/>
      <sz val="9"/>
      <color rgb="FFC9D1E0"/>
      <name val="Arial"/>
      <charset val="1"/>
    </font>
    <font>
      <b/>
      <sz val="9"/>
      <color rgb="FFFFD479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1F2937"/>
      <name val="Arial"/>
      <charset val="1"/>
    </font>
    <font>
      <i/>
      <sz val="8"/>
      <color rgb="FF1F2937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7F7F7F"/>
      <name val="Arial"/>
      <charset val="1"/>
    </font>
    <font>
      <b/>
      <sz val="11"/>
      <color rgb="FFFFFFFF"/>
      <name val="Arial"/>
      <charset val="1"/>
    </font>
    <font>
      <b/>
      <sz val="10"/>
      <color rgb="FFFFD479"/>
      <name val="Arial"/>
      <charset val="1"/>
    </font>
    <font>
      <i/>
      <sz val="10"/>
      <color rgb="FFC9D1E0"/>
      <name val="Arial"/>
      <charset val="1"/>
    </font>
    <font>
      <b/>
      <sz val="15"/>
      <color rgb="FFFFFFFF"/>
      <name val="Arial"/>
      <charset val="1"/>
    </font>
    <font>
      <sz val="8"/>
      <color rgb="FF1F2937"/>
      <name val="Arial"/>
      <charset val="1"/>
    </font>
    <font>
      <b/>
      <sz val="11"/>
      <color rgb="FFFFD47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EDEDED"/>
      </patternFill>
    </fill>
    <fill>
      <patternFill patternType="solid">
        <fgColor rgb="FFD6DEF5"/>
        <bgColor rgb="FFDCE3F2"/>
      </patternFill>
    </fill>
    <fill>
      <patternFill patternType="solid">
        <fgColor rgb="FFEDEDED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D9D9D9"/>
        <bgColor rgb="FFCFD8EA"/>
      </patternFill>
    </fill>
    <fill>
      <patternFill patternType="solid">
        <fgColor rgb="FFB9C4DC"/>
        <bgColor rgb="FFC9D1E0"/>
      </patternFill>
    </fill>
    <fill>
      <patternFill patternType="solid">
        <fgColor rgb="FFCFD8EA"/>
        <bgColor rgb="FFD6DEF5"/>
      </patternFill>
    </fill>
  </fills>
  <borders count="2">
    <border>
      <left/>
      <right/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64" fontId="8" fillId="4" borderId="1" xfId="0" applyNumberFormat="1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166" fontId="8" fillId="4" borderId="1" xfId="0" applyNumberFormat="1" applyFont="1" applyFill="1" applyBorder="1" applyAlignment="1">
      <alignment horizontal="center"/>
    </xf>
    <xf numFmtId="167" fontId="8" fillId="4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6" fontId="12" fillId="7" borderId="1" xfId="0" applyNumberFormat="1" applyFont="1" applyFill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  <xf numFmtId="165" fontId="12" fillId="7" borderId="1" xfId="0" applyNumberFormat="1" applyFont="1" applyFill="1" applyBorder="1" applyAlignment="1">
      <alignment horizontal="center"/>
    </xf>
    <xf numFmtId="167" fontId="11" fillId="4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left" vertical="center" indent="1"/>
    </xf>
    <xf numFmtId="0" fontId="10" fillId="8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horizontal="left" vertical="center" indent="1"/>
    </xf>
    <xf numFmtId="0" fontId="10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/>
    <xf numFmtId="0" fontId="13" fillId="10" borderId="1" xfId="0" applyFont="1" applyFill="1" applyBorder="1" applyAlignment="1">
      <alignment horizontal="center"/>
    </xf>
    <xf numFmtId="165" fontId="8" fillId="10" borderId="1" xfId="0" applyNumberFormat="1" applyFont="1" applyFill="1" applyBorder="1" applyAlignment="1">
      <alignment horizontal="center"/>
    </xf>
    <xf numFmtId="167" fontId="8" fillId="10" borderId="1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left" vertical="center" indent="1"/>
    </xf>
    <xf numFmtId="0" fontId="10" fillId="11" borderId="1" xfId="0" applyFont="1" applyFill="1" applyBorder="1" applyAlignment="1">
      <alignment horizontal="center"/>
    </xf>
    <xf numFmtId="164" fontId="9" fillId="11" borderId="1" xfId="0" applyNumberFormat="1" applyFont="1" applyFill="1" applyBorder="1" applyAlignment="1">
      <alignment horizontal="center"/>
    </xf>
    <xf numFmtId="166" fontId="9" fillId="11" borderId="1" xfId="0" applyNumberFormat="1" applyFont="1" applyFill="1" applyBorder="1" applyAlignment="1">
      <alignment horizontal="center"/>
    </xf>
    <xf numFmtId="165" fontId="9" fillId="11" borderId="1" xfId="0" applyNumberFormat="1" applyFont="1" applyFill="1" applyBorder="1" applyAlignment="1">
      <alignment horizontal="center"/>
    </xf>
    <xf numFmtId="0" fontId="14" fillId="2" borderId="0" xfId="0" applyFont="1" applyFill="1"/>
    <xf numFmtId="0" fontId="7" fillId="2" borderId="0" xfId="0" applyFont="1" applyFill="1" applyAlignment="1">
      <alignment horizontal="right"/>
    </xf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6" fillId="3" borderId="1" xfId="0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165" fontId="12" fillId="4" borderId="1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left" vertical="top" wrapText="1" indent="1"/>
    </xf>
    <xf numFmtId="164" fontId="12" fillId="6" borderId="1" xfId="0" applyNumberFormat="1" applyFont="1" applyFill="1" applyBorder="1" applyAlignment="1">
      <alignment horizontal="center"/>
    </xf>
    <xf numFmtId="0" fontId="19" fillId="2" borderId="0" xfId="0" applyFont="1" applyFill="1"/>
    <xf numFmtId="0" fontId="6" fillId="3" borderId="1" xfId="0" applyFont="1" applyFill="1" applyBorder="1" applyAlignment="1">
      <alignment horizontal="left" vertical="center" wrapText="1" indent="1"/>
    </xf>
    <xf numFmtId="0" fontId="9" fillId="5" borderId="1" xfId="0" applyFont="1" applyFill="1" applyBorder="1" applyAlignment="1">
      <alignment horizontal="left" vertical="top" wrapText="1" indent="1"/>
    </xf>
    <xf numFmtId="0" fontId="10" fillId="5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7F7F7F"/>
      <rgbColor rgb="FF9999FF"/>
      <rgbColor rgb="FF8B3DD7"/>
      <rgbColor rgb="FFEDEDED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D9D9D9"/>
      <rgbColor rgb="FFE8D9F5"/>
      <rgbColor rgb="FFCFD8EA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2"/>
  <sheetViews>
    <sheetView showGridLines="0" tabSelected="1" zoomScale="113" zoomScaleNormal="100" workbookViewId="0">
      <pane xSplit="3" ySplit="16" topLeftCell="D17" activePane="bottomRight" state="frozen"/>
      <selection pane="topRight" activeCell="D1" sqref="D1"/>
      <selection pane="bottomLeft" activeCell="A17" sqref="A17"/>
      <selection pane="bottomRight" sqref="A1:B1048576"/>
    </sheetView>
  </sheetViews>
  <sheetFormatPr defaultColWidth="8.7109375" defaultRowHeight="15" x14ac:dyDescent="0.25"/>
  <cols>
    <col min="1" max="1" width="2" customWidth="1"/>
    <col min="2" max="2" width="40" customWidth="1"/>
    <col min="3" max="3" width="12" customWidth="1"/>
    <col min="4" max="7" width="12.5703125" bestFit="1" customWidth="1"/>
    <col min="8" max="27" width="12" customWidth="1"/>
  </cols>
  <sheetData>
    <row r="1" spans="1:29" ht="20.25" x14ac:dyDescent="0.3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2"/>
      <c r="B4" s="6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A5" s="2"/>
      <c r="B5" s="6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5">
      <c r="A7" s="2"/>
      <c r="B7" s="2"/>
      <c r="C7" s="2"/>
      <c r="D7" s="7" t="s">
        <v>5</v>
      </c>
      <c r="E7" s="7" t="s">
        <v>6</v>
      </c>
      <c r="F7" s="7" t="s">
        <v>7</v>
      </c>
      <c r="G7" s="7" t="s">
        <v>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2"/>
      <c r="B8" s="8" t="s">
        <v>9</v>
      </c>
      <c r="C8" s="2"/>
      <c r="D8" s="9">
        <f>D36</f>
        <v>5684</v>
      </c>
      <c r="E8" s="9">
        <f>E36</f>
        <v>6199</v>
      </c>
      <c r="F8" s="9">
        <f>F36</f>
        <v>6341</v>
      </c>
      <c r="G8" s="9">
        <f>G36</f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A9" s="2"/>
      <c r="B9" s="8" t="s">
        <v>10</v>
      </c>
      <c r="C9" s="2"/>
      <c r="D9" s="10">
        <f>L35</f>
        <v>1996290.52</v>
      </c>
      <c r="E9" s="10">
        <f>M35</f>
        <v>2297353.8099999996</v>
      </c>
      <c r="F9" s="10">
        <f>N35</f>
        <v>2241034.37</v>
      </c>
      <c r="G9" s="10">
        <f>O35</f>
        <v>1126223.32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2"/>
      <c r="B10" s="8" t="s">
        <v>11</v>
      </c>
      <c r="C10" s="2"/>
      <c r="D10" s="11">
        <f>IFERROR(L36/D36,0)</f>
        <v>317.64119634060523</v>
      </c>
      <c r="E10" s="11">
        <f>IFERROR(M36/E36,0)</f>
        <v>342.19592998870792</v>
      </c>
      <c r="F10" s="11">
        <f>IFERROR(N36/F36,0)</f>
        <v>328.69091783630341</v>
      </c>
      <c r="G10" s="11">
        <f>IFERROR(O36/G36,0)</f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2"/>
      <c r="B12" s="8" t="s">
        <v>12</v>
      </c>
      <c r="C12" s="2"/>
      <c r="D12" s="12">
        <f>IFERROR(P35/L35,0)</f>
        <v>0</v>
      </c>
      <c r="E12" s="12">
        <f>IFERROR(Q35/M35,0)</f>
        <v>0</v>
      </c>
      <c r="F12" s="12">
        <f>IFERROR(R35/N35,0)</f>
        <v>0</v>
      </c>
      <c r="G12" s="12">
        <f>IFERROR(S35/O35,0)</f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2"/>
      <c r="B13" s="8" t="s">
        <v>13</v>
      </c>
      <c r="C13" s="2"/>
      <c r="D13" s="10">
        <f>X35</f>
        <v>1996290.52</v>
      </c>
      <c r="E13" s="10">
        <f>Y35</f>
        <v>2297353.8099999996</v>
      </c>
      <c r="F13" s="10">
        <f>Z35</f>
        <v>2241034.37</v>
      </c>
      <c r="G13" s="10">
        <f>AA35</f>
        <v>1126223.32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2"/>
      <c r="B14" s="8" t="s">
        <v>14</v>
      </c>
      <c r="C14" s="2"/>
      <c r="D14" s="12">
        <f>IFERROR(X35/L35,0)</f>
        <v>1</v>
      </c>
      <c r="E14" s="12">
        <f>IFERROR(Y35/M35,0)</f>
        <v>1</v>
      </c>
      <c r="F14" s="12">
        <f>IFERROR(Z35/N35,0)</f>
        <v>1</v>
      </c>
      <c r="G14" s="12">
        <f>IFERROR(AA35/O35,0)</f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" customHeight="1" x14ac:dyDescent="0.25">
      <c r="A15" s="2"/>
      <c r="B15" s="1" t="s">
        <v>15</v>
      </c>
      <c r="C15" s="1" t="s">
        <v>16</v>
      </c>
      <c r="D15" s="1" t="s">
        <v>17</v>
      </c>
      <c r="E15" s="1"/>
      <c r="F15" s="1"/>
      <c r="G15" s="1"/>
      <c r="H15" s="1" t="s">
        <v>18</v>
      </c>
      <c r="I15" s="1"/>
      <c r="J15" s="1"/>
      <c r="K15" s="1"/>
      <c r="L15" s="1" t="s">
        <v>10</v>
      </c>
      <c r="M15" s="1"/>
      <c r="N15" s="1"/>
      <c r="O15" s="1"/>
      <c r="P15" s="1" t="s">
        <v>19</v>
      </c>
      <c r="Q15" s="1"/>
      <c r="R15" s="1"/>
      <c r="S15" s="1"/>
      <c r="T15" s="1" t="s">
        <v>20</v>
      </c>
      <c r="U15" s="1"/>
      <c r="V15" s="1"/>
      <c r="W15" s="1"/>
      <c r="X15" s="1" t="s">
        <v>21</v>
      </c>
      <c r="Y15" s="1"/>
      <c r="Z15" s="1"/>
      <c r="AA15" s="1"/>
      <c r="AB15" s="2"/>
      <c r="AC15" s="2"/>
    </row>
    <row r="16" spans="1:29" x14ac:dyDescent="0.25">
      <c r="A16" s="2"/>
      <c r="B16" s="1"/>
      <c r="C16" s="1"/>
      <c r="D16" s="7" t="s">
        <v>5</v>
      </c>
      <c r="E16" s="7" t="s">
        <v>6</v>
      </c>
      <c r="F16" s="7" t="s">
        <v>7</v>
      </c>
      <c r="G16" s="7" t="s">
        <v>8</v>
      </c>
      <c r="H16" s="7" t="s">
        <v>5</v>
      </c>
      <c r="I16" s="7" t="s">
        <v>6</v>
      </c>
      <c r="J16" s="7" t="s">
        <v>7</v>
      </c>
      <c r="K16" s="7" t="s">
        <v>8</v>
      </c>
      <c r="L16" s="7" t="s">
        <v>5</v>
      </c>
      <c r="M16" s="7" t="s">
        <v>6</v>
      </c>
      <c r="N16" s="7" t="s">
        <v>7</v>
      </c>
      <c r="O16" s="7" t="s">
        <v>8</v>
      </c>
      <c r="P16" s="7" t="s">
        <v>5</v>
      </c>
      <c r="Q16" s="7" t="s">
        <v>6</v>
      </c>
      <c r="R16" s="7" t="s">
        <v>7</v>
      </c>
      <c r="S16" s="7" t="s">
        <v>8</v>
      </c>
      <c r="T16" s="7" t="s">
        <v>5</v>
      </c>
      <c r="U16" s="7" t="s">
        <v>6</v>
      </c>
      <c r="V16" s="7" t="s">
        <v>7</v>
      </c>
      <c r="W16" s="7" t="s">
        <v>8</v>
      </c>
      <c r="X16" s="7" t="s">
        <v>5</v>
      </c>
      <c r="Y16" s="7" t="s">
        <v>6</v>
      </c>
      <c r="Z16" s="7" t="s">
        <v>7</v>
      </c>
      <c r="AA16" s="7" t="s">
        <v>8</v>
      </c>
      <c r="AB16" s="2"/>
      <c r="AC16" s="2"/>
    </row>
    <row r="17" spans="1:29" x14ac:dyDescent="0.25">
      <c r="A17" s="2"/>
      <c r="B17" s="13" t="s">
        <v>22</v>
      </c>
      <c r="C17" s="14" t="s">
        <v>23</v>
      </c>
      <c r="D17" s="15">
        <v>1151</v>
      </c>
      <c r="E17" s="15">
        <v>1119</v>
      </c>
      <c r="F17" s="15">
        <v>1071</v>
      </c>
      <c r="G17" s="16"/>
      <c r="H17" s="17">
        <f t="shared" ref="H17:H34" si="0">IFERROR(L17/D17,0)</f>
        <v>298.29301476976542</v>
      </c>
      <c r="I17" s="17">
        <f t="shared" ref="I17:I34" si="1">IFERROR(M17/E17,0)</f>
        <v>340.93346738159067</v>
      </c>
      <c r="J17" s="17">
        <f t="shared" ref="J17:J34" si="2">IFERROR(N17/F17,0)</f>
        <v>342.68421101774044</v>
      </c>
      <c r="K17" s="17">
        <f t="shared" ref="K17:K34" si="3">IFERROR(O17/G17,0)</f>
        <v>0</v>
      </c>
      <c r="L17" s="18">
        <v>343335.26</v>
      </c>
      <c r="M17" s="18">
        <v>381504.55</v>
      </c>
      <c r="N17" s="18">
        <v>367014.79</v>
      </c>
      <c r="O17" s="18">
        <v>194726.85</v>
      </c>
      <c r="P17" s="19">
        <f t="shared" ref="P17:P34" si="4">L17*T17</f>
        <v>0</v>
      </c>
      <c r="Q17" s="19">
        <f t="shared" ref="Q17:Q34" si="5">M17*U17</f>
        <v>0</v>
      </c>
      <c r="R17" s="19">
        <f t="shared" ref="R17:R34" si="6">N17*V17</f>
        <v>0</v>
      </c>
      <c r="S17" s="19">
        <f t="shared" ref="S17:S34" si="7">O17*W17</f>
        <v>0</v>
      </c>
      <c r="T17" s="20"/>
      <c r="U17" s="20"/>
      <c r="V17" s="20"/>
      <c r="W17" s="20"/>
      <c r="X17" s="19">
        <f t="shared" ref="X17:X34" si="8">L17-P17</f>
        <v>343335.26</v>
      </c>
      <c r="Y17" s="19">
        <f t="shared" ref="Y17:Y34" si="9">M17-Q17</f>
        <v>381504.55</v>
      </c>
      <c r="Z17" s="19">
        <f t="shared" ref="Z17:Z34" si="10">N17-R17</f>
        <v>367014.79</v>
      </c>
      <c r="AA17" s="19">
        <f t="shared" ref="AA17:AA34" si="11">O17-S17</f>
        <v>194726.85</v>
      </c>
      <c r="AB17" s="2"/>
      <c r="AC17" s="2"/>
    </row>
    <row r="18" spans="1:29" x14ac:dyDescent="0.25">
      <c r="A18" s="2"/>
      <c r="B18" s="13" t="s">
        <v>24</v>
      </c>
      <c r="C18" s="14" t="s">
        <v>23</v>
      </c>
      <c r="D18" s="15">
        <v>2090</v>
      </c>
      <c r="E18" s="15">
        <v>2517</v>
      </c>
      <c r="F18" s="15">
        <v>2440</v>
      </c>
      <c r="G18" s="16"/>
      <c r="H18" s="17">
        <f t="shared" si="0"/>
        <v>358.12967464114831</v>
      </c>
      <c r="I18" s="17">
        <f t="shared" si="1"/>
        <v>397.2345887961859</v>
      </c>
      <c r="J18" s="17">
        <f t="shared" si="2"/>
        <v>399.70425</v>
      </c>
      <c r="K18" s="17">
        <f t="shared" si="3"/>
        <v>0</v>
      </c>
      <c r="L18" s="18">
        <v>748491.02</v>
      </c>
      <c r="M18" s="18">
        <v>999839.46</v>
      </c>
      <c r="N18" s="18">
        <v>975278.37</v>
      </c>
      <c r="O18" s="18">
        <v>505818.42</v>
      </c>
      <c r="P18" s="19">
        <f t="shared" si="4"/>
        <v>0</v>
      </c>
      <c r="Q18" s="19">
        <f t="shared" si="5"/>
        <v>0</v>
      </c>
      <c r="R18" s="19">
        <f t="shared" si="6"/>
        <v>0</v>
      </c>
      <c r="S18" s="19">
        <f t="shared" si="7"/>
        <v>0</v>
      </c>
      <c r="T18" s="20"/>
      <c r="U18" s="20"/>
      <c r="V18" s="20"/>
      <c r="W18" s="20"/>
      <c r="X18" s="19">
        <f t="shared" si="8"/>
        <v>748491.02</v>
      </c>
      <c r="Y18" s="19">
        <f t="shared" si="9"/>
        <v>999839.46</v>
      </c>
      <c r="Z18" s="19">
        <f t="shared" si="10"/>
        <v>975278.37</v>
      </c>
      <c r="AA18" s="19">
        <f t="shared" si="11"/>
        <v>505818.42</v>
      </c>
      <c r="AB18" s="2"/>
      <c r="AC18" s="2"/>
    </row>
    <row r="19" spans="1:29" x14ac:dyDescent="0.25">
      <c r="A19" s="2"/>
      <c r="B19" s="13" t="s">
        <v>25</v>
      </c>
      <c r="C19" s="14" t="s">
        <v>23</v>
      </c>
      <c r="D19" s="15">
        <v>277</v>
      </c>
      <c r="E19" s="15">
        <v>247</v>
      </c>
      <c r="F19" s="15">
        <v>239</v>
      </c>
      <c r="G19" s="16"/>
      <c r="H19" s="17">
        <f t="shared" si="0"/>
        <v>311.63714801444047</v>
      </c>
      <c r="I19" s="17">
        <f t="shared" si="1"/>
        <v>342.32226720647776</v>
      </c>
      <c r="J19" s="17">
        <f t="shared" si="2"/>
        <v>357.69518828451879</v>
      </c>
      <c r="K19" s="17">
        <f t="shared" si="3"/>
        <v>0</v>
      </c>
      <c r="L19" s="18">
        <v>86323.49</v>
      </c>
      <c r="M19" s="18">
        <v>84553.600000000006</v>
      </c>
      <c r="N19" s="18">
        <v>85489.15</v>
      </c>
      <c r="O19" s="18">
        <v>40964</v>
      </c>
      <c r="P19" s="19">
        <f t="shared" si="4"/>
        <v>0</v>
      </c>
      <c r="Q19" s="19">
        <f t="shared" si="5"/>
        <v>0</v>
      </c>
      <c r="R19" s="19">
        <f t="shared" si="6"/>
        <v>0</v>
      </c>
      <c r="S19" s="19">
        <f t="shared" si="7"/>
        <v>0</v>
      </c>
      <c r="T19" s="20"/>
      <c r="U19" s="20"/>
      <c r="V19" s="20"/>
      <c r="W19" s="20"/>
      <c r="X19" s="19">
        <f t="shared" si="8"/>
        <v>86323.49</v>
      </c>
      <c r="Y19" s="19">
        <f t="shared" si="9"/>
        <v>84553.600000000006</v>
      </c>
      <c r="Z19" s="19">
        <f t="shared" si="10"/>
        <v>85489.15</v>
      </c>
      <c r="AA19" s="19">
        <f t="shared" si="11"/>
        <v>40964</v>
      </c>
      <c r="AB19" s="2"/>
      <c r="AC19" s="2"/>
    </row>
    <row r="20" spans="1:29" x14ac:dyDescent="0.25">
      <c r="A20" s="2"/>
      <c r="B20" s="13" t="s">
        <v>26</v>
      </c>
      <c r="C20" s="14" t="s">
        <v>23</v>
      </c>
      <c r="D20" s="15">
        <v>332</v>
      </c>
      <c r="E20" s="15">
        <v>433</v>
      </c>
      <c r="F20" s="15">
        <v>334</v>
      </c>
      <c r="G20" s="16"/>
      <c r="H20" s="17">
        <f t="shared" si="0"/>
        <v>250.92496987951807</v>
      </c>
      <c r="I20" s="17">
        <f t="shared" si="1"/>
        <v>236.06879907621246</v>
      </c>
      <c r="J20" s="17">
        <f t="shared" si="2"/>
        <v>266.52149700598801</v>
      </c>
      <c r="K20" s="17">
        <f t="shared" si="3"/>
        <v>0</v>
      </c>
      <c r="L20" s="18">
        <v>83307.09</v>
      </c>
      <c r="M20" s="18">
        <v>102217.79</v>
      </c>
      <c r="N20" s="18">
        <v>89018.18</v>
      </c>
      <c r="O20" s="18">
        <v>36851.550000000003</v>
      </c>
      <c r="P20" s="19">
        <f t="shared" si="4"/>
        <v>0</v>
      </c>
      <c r="Q20" s="19">
        <f t="shared" si="5"/>
        <v>0</v>
      </c>
      <c r="R20" s="19">
        <f t="shared" si="6"/>
        <v>0</v>
      </c>
      <c r="S20" s="19">
        <f t="shared" si="7"/>
        <v>0</v>
      </c>
      <c r="T20" s="20"/>
      <c r="U20" s="20"/>
      <c r="V20" s="20"/>
      <c r="W20" s="20"/>
      <c r="X20" s="19">
        <f t="shared" si="8"/>
        <v>83307.09</v>
      </c>
      <c r="Y20" s="19">
        <f t="shared" si="9"/>
        <v>102217.79</v>
      </c>
      <c r="Z20" s="19">
        <f t="shared" si="10"/>
        <v>89018.18</v>
      </c>
      <c r="AA20" s="19">
        <f t="shared" si="11"/>
        <v>36851.550000000003</v>
      </c>
      <c r="AB20" s="2"/>
      <c r="AC20" s="2"/>
    </row>
    <row r="21" spans="1:29" x14ac:dyDescent="0.25">
      <c r="A21" s="2"/>
      <c r="B21" s="13" t="s">
        <v>27</v>
      </c>
      <c r="C21" s="14" t="s">
        <v>23</v>
      </c>
      <c r="D21" s="15">
        <v>1</v>
      </c>
      <c r="E21" s="15">
        <v>5</v>
      </c>
      <c r="F21" s="15">
        <v>128</v>
      </c>
      <c r="G21" s="16"/>
      <c r="H21" s="17">
        <f t="shared" si="0"/>
        <v>36</v>
      </c>
      <c r="I21" s="17">
        <f t="shared" si="1"/>
        <v>134.28</v>
      </c>
      <c r="J21" s="17">
        <f t="shared" si="2"/>
        <v>24.484375</v>
      </c>
      <c r="K21" s="17">
        <f t="shared" si="3"/>
        <v>0</v>
      </c>
      <c r="L21" s="18">
        <v>36</v>
      </c>
      <c r="M21" s="18">
        <v>671.4</v>
      </c>
      <c r="N21" s="18">
        <v>3134</v>
      </c>
      <c r="O21" s="18">
        <v>25</v>
      </c>
      <c r="P21" s="19">
        <f t="shared" si="4"/>
        <v>0</v>
      </c>
      <c r="Q21" s="19">
        <f t="shared" si="5"/>
        <v>0</v>
      </c>
      <c r="R21" s="19">
        <f t="shared" si="6"/>
        <v>0</v>
      </c>
      <c r="S21" s="19">
        <f t="shared" si="7"/>
        <v>0</v>
      </c>
      <c r="T21" s="20"/>
      <c r="U21" s="20"/>
      <c r="V21" s="20"/>
      <c r="W21" s="20"/>
      <c r="X21" s="19">
        <f t="shared" si="8"/>
        <v>36</v>
      </c>
      <c r="Y21" s="19">
        <f t="shared" si="9"/>
        <v>671.4</v>
      </c>
      <c r="Z21" s="19">
        <f t="shared" si="10"/>
        <v>3134</v>
      </c>
      <c r="AA21" s="19">
        <f t="shared" si="11"/>
        <v>25</v>
      </c>
      <c r="AB21" s="2"/>
      <c r="AC21" s="2"/>
    </row>
    <row r="22" spans="1:29" x14ac:dyDescent="0.25">
      <c r="A22" s="2"/>
      <c r="B22" s="21" t="s">
        <v>28</v>
      </c>
      <c r="C22" s="22" t="s">
        <v>29</v>
      </c>
      <c r="D22" s="16"/>
      <c r="E22" s="16"/>
      <c r="F22" s="16"/>
      <c r="G22" s="16"/>
      <c r="H22" s="17">
        <f t="shared" si="0"/>
        <v>0</v>
      </c>
      <c r="I22" s="17">
        <f t="shared" si="1"/>
        <v>0</v>
      </c>
      <c r="J22" s="17">
        <f t="shared" si="2"/>
        <v>0</v>
      </c>
      <c r="K22" s="17">
        <f t="shared" si="3"/>
        <v>0</v>
      </c>
      <c r="L22" s="18">
        <v>21708.45</v>
      </c>
      <c r="M22" s="18">
        <v>27214.03</v>
      </c>
      <c r="N22" s="18">
        <v>16502.96</v>
      </c>
      <c r="O22" s="18">
        <v>9443.75</v>
      </c>
      <c r="P22" s="19">
        <f t="shared" si="4"/>
        <v>0</v>
      </c>
      <c r="Q22" s="19">
        <f t="shared" si="5"/>
        <v>0</v>
      </c>
      <c r="R22" s="19">
        <f t="shared" si="6"/>
        <v>0</v>
      </c>
      <c r="S22" s="19">
        <f t="shared" si="7"/>
        <v>0</v>
      </c>
      <c r="T22" s="20"/>
      <c r="U22" s="20"/>
      <c r="V22" s="20"/>
      <c r="W22" s="20"/>
      <c r="X22" s="19">
        <f t="shared" si="8"/>
        <v>21708.45</v>
      </c>
      <c r="Y22" s="19">
        <f t="shared" si="9"/>
        <v>27214.03</v>
      </c>
      <c r="Z22" s="19">
        <f t="shared" si="10"/>
        <v>16502.96</v>
      </c>
      <c r="AA22" s="19">
        <f t="shared" si="11"/>
        <v>9443.75</v>
      </c>
      <c r="AB22" s="2"/>
      <c r="AC22" s="2"/>
    </row>
    <row r="23" spans="1:29" x14ac:dyDescent="0.25">
      <c r="A23" s="2"/>
      <c r="B23" s="13" t="s">
        <v>30</v>
      </c>
      <c r="C23" s="14" t="s">
        <v>23</v>
      </c>
      <c r="D23" s="15">
        <v>41</v>
      </c>
      <c r="E23" s="15"/>
      <c r="F23" s="15"/>
      <c r="G23" s="16"/>
      <c r="H23" s="17">
        <f t="shared" si="0"/>
        <v>640.20121951219517</v>
      </c>
      <c r="I23" s="17">
        <f t="shared" si="1"/>
        <v>0</v>
      </c>
      <c r="J23" s="17">
        <f t="shared" si="2"/>
        <v>0</v>
      </c>
      <c r="K23" s="17">
        <f t="shared" si="3"/>
        <v>0</v>
      </c>
      <c r="L23" s="18">
        <v>26248.25</v>
      </c>
      <c r="M23" s="18"/>
      <c r="N23" s="18"/>
      <c r="O23" s="18"/>
      <c r="P23" s="19">
        <f t="shared" si="4"/>
        <v>0</v>
      </c>
      <c r="Q23" s="19">
        <f t="shared" si="5"/>
        <v>0</v>
      </c>
      <c r="R23" s="19">
        <f t="shared" si="6"/>
        <v>0</v>
      </c>
      <c r="S23" s="19">
        <f t="shared" si="7"/>
        <v>0</v>
      </c>
      <c r="T23" s="20"/>
      <c r="U23" s="20"/>
      <c r="V23" s="20"/>
      <c r="W23" s="20"/>
      <c r="X23" s="19">
        <f t="shared" si="8"/>
        <v>26248.25</v>
      </c>
      <c r="Y23" s="19">
        <f t="shared" si="9"/>
        <v>0</v>
      </c>
      <c r="Z23" s="19">
        <f t="shared" si="10"/>
        <v>0</v>
      </c>
      <c r="AA23" s="19">
        <f t="shared" si="11"/>
        <v>0</v>
      </c>
      <c r="AB23" s="2"/>
      <c r="AC23" s="2"/>
    </row>
    <row r="24" spans="1:29" x14ac:dyDescent="0.25">
      <c r="A24" s="2"/>
      <c r="B24" s="13" t="s">
        <v>31</v>
      </c>
      <c r="C24" s="14" t="s">
        <v>23</v>
      </c>
      <c r="D24" s="15">
        <v>1792</v>
      </c>
      <c r="E24" s="15">
        <v>1878</v>
      </c>
      <c r="F24" s="15">
        <v>2129</v>
      </c>
      <c r="G24" s="16"/>
      <c r="H24" s="17">
        <f t="shared" si="0"/>
        <v>288.91263950892858</v>
      </c>
      <c r="I24" s="17">
        <f t="shared" si="1"/>
        <v>294.18837593184242</v>
      </c>
      <c r="J24" s="17">
        <f t="shared" si="2"/>
        <v>265.05148896195396</v>
      </c>
      <c r="K24" s="17">
        <f t="shared" si="3"/>
        <v>0</v>
      </c>
      <c r="L24" s="18">
        <v>517731.45</v>
      </c>
      <c r="M24" s="18">
        <v>552485.77</v>
      </c>
      <c r="N24" s="18">
        <v>564294.62</v>
      </c>
      <c r="O24" s="18">
        <v>259212.55</v>
      </c>
      <c r="P24" s="19">
        <f t="shared" si="4"/>
        <v>0</v>
      </c>
      <c r="Q24" s="19">
        <f t="shared" si="5"/>
        <v>0</v>
      </c>
      <c r="R24" s="19">
        <f t="shared" si="6"/>
        <v>0</v>
      </c>
      <c r="S24" s="19">
        <f t="shared" si="7"/>
        <v>0</v>
      </c>
      <c r="T24" s="20"/>
      <c r="U24" s="20"/>
      <c r="V24" s="20"/>
      <c r="W24" s="20"/>
      <c r="X24" s="19">
        <f t="shared" si="8"/>
        <v>517731.45</v>
      </c>
      <c r="Y24" s="19">
        <f t="shared" si="9"/>
        <v>552485.77</v>
      </c>
      <c r="Z24" s="19">
        <f t="shared" si="10"/>
        <v>564294.62</v>
      </c>
      <c r="AA24" s="19">
        <f t="shared" si="11"/>
        <v>259212.55</v>
      </c>
      <c r="AB24" s="2"/>
      <c r="AC24" s="2"/>
    </row>
    <row r="25" spans="1:29" x14ac:dyDescent="0.25">
      <c r="A25" s="2"/>
      <c r="B25" s="13" t="s">
        <v>32</v>
      </c>
      <c r="C25" s="14" t="s">
        <v>33</v>
      </c>
      <c r="D25" s="15">
        <v>2364</v>
      </c>
      <c r="E25" s="15">
        <v>1849</v>
      </c>
      <c r="F25" s="15">
        <v>2114</v>
      </c>
      <c r="G25" s="16"/>
      <c r="H25" s="17">
        <f t="shared" si="0"/>
        <v>12.715524534686971</v>
      </c>
      <c r="I25" s="17">
        <f t="shared" si="1"/>
        <v>12.632314764737696</v>
      </c>
      <c r="J25" s="17">
        <f t="shared" si="2"/>
        <v>13.305846736045412</v>
      </c>
      <c r="K25" s="17">
        <f t="shared" si="3"/>
        <v>0</v>
      </c>
      <c r="L25" s="18">
        <v>30059.5</v>
      </c>
      <c r="M25" s="18">
        <v>23357.15</v>
      </c>
      <c r="N25" s="18">
        <v>28128.560000000001</v>
      </c>
      <c r="O25" s="18">
        <v>20980.25</v>
      </c>
      <c r="P25" s="19">
        <f t="shared" si="4"/>
        <v>0</v>
      </c>
      <c r="Q25" s="19">
        <f t="shared" si="5"/>
        <v>0</v>
      </c>
      <c r="R25" s="19">
        <f t="shared" si="6"/>
        <v>0</v>
      </c>
      <c r="S25" s="19">
        <f t="shared" si="7"/>
        <v>0</v>
      </c>
      <c r="T25" s="20"/>
      <c r="U25" s="20"/>
      <c r="V25" s="20"/>
      <c r="W25" s="20"/>
      <c r="X25" s="19">
        <f t="shared" si="8"/>
        <v>30059.5</v>
      </c>
      <c r="Y25" s="19">
        <f t="shared" si="9"/>
        <v>23357.15</v>
      </c>
      <c r="Z25" s="19">
        <f t="shared" si="10"/>
        <v>28128.560000000001</v>
      </c>
      <c r="AA25" s="19">
        <f t="shared" si="11"/>
        <v>20980.25</v>
      </c>
      <c r="AB25" s="2"/>
      <c r="AC25" s="2"/>
    </row>
    <row r="26" spans="1:29" x14ac:dyDescent="0.25">
      <c r="A26" s="2"/>
      <c r="B26" s="13" t="s">
        <v>34</v>
      </c>
      <c r="C26" s="14" t="s">
        <v>35</v>
      </c>
      <c r="D26" s="23">
        <f>ROUND(L26/45,0)</f>
        <v>1295</v>
      </c>
      <c r="E26" s="23">
        <f>ROUND(M26/45,0)</f>
        <v>1370</v>
      </c>
      <c r="F26" s="23">
        <f>ROUND(N26/45,0)</f>
        <v>1173</v>
      </c>
      <c r="G26" s="23">
        <f>ROUND(O26/45,0)</f>
        <v>479</v>
      </c>
      <c r="H26" s="17">
        <f t="shared" si="0"/>
        <v>45.014285714285712</v>
      </c>
      <c r="I26" s="17">
        <f t="shared" si="1"/>
        <v>44.992737226277377</v>
      </c>
      <c r="J26" s="17">
        <f t="shared" si="2"/>
        <v>44.99313725490196</v>
      </c>
      <c r="K26" s="17">
        <f t="shared" si="3"/>
        <v>45.042379958246343</v>
      </c>
      <c r="L26" s="18">
        <v>58293.5</v>
      </c>
      <c r="M26" s="18">
        <v>61640.05</v>
      </c>
      <c r="N26" s="18">
        <v>52776.95</v>
      </c>
      <c r="O26" s="18">
        <v>21575.3</v>
      </c>
      <c r="P26" s="19">
        <f t="shared" si="4"/>
        <v>0</v>
      </c>
      <c r="Q26" s="19">
        <f t="shared" si="5"/>
        <v>0</v>
      </c>
      <c r="R26" s="19">
        <f t="shared" si="6"/>
        <v>0</v>
      </c>
      <c r="S26" s="19">
        <f t="shared" si="7"/>
        <v>0</v>
      </c>
      <c r="T26" s="20"/>
      <c r="U26" s="20"/>
      <c r="V26" s="20"/>
      <c r="W26" s="20"/>
      <c r="X26" s="19">
        <f t="shared" si="8"/>
        <v>58293.5</v>
      </c>
      <c r="Y26" s="19">
        <f t="shared" si="9"/>
        <v>61640.05</v>
      </c>
      <c r="Z26" s="19">
        <f t="shared" si="10"/>
        <v>52776.95</v>
      </c>
      <c r="AA26" s="19">
        <f t="shared" si="11"/>
        <v>21575.3</v>
      </c>
      <c r="AB26" s="2"/>
      <c r="AC26" s="2"/>
    </row>
    <row r="27" spans="1:29" x14ac:dyDescent="0.25">
      <c r="A27" s="2"/>
      <c r="B27" s="13" t="s">
        <v>36</v>
      </c>
      <c r="C27" s="14" t="s">
        <v>37</v>
      </c>
      <c r="D27" s="15">
        <v>112</v>
      </c>
      <c r="E27" s="15">
        <v>54</v>
      </c>
      <c r="F27" s="15"/>
      <c r="G27" s="15"/>
      <c r="H27" s="17">
        <f t="shared" si="0"/>
        <v>408.63437500000003</v>
      </c>
      <c r="I27" s="17">
        <f t="shared" si="1"/>
        <v>352.55925925925925</v>
      </c>
      <c r="J27" s="17">
        <f t="shared" si="2"/>
        <v>0</v>
      </c>
      <c r="K27" s="17">
        <f t="shared" si="3"/>
        <v>0</v>
      </c>
      <c r="L27" s="18">
        <v>45767.05</v>
      </c>
      <c r="M27" s="18">
        <v>19038.2</v>
      </c>
      <c r="N27" s="18"/>
      <c r="O27" s="18"/>
      <c r="P27" s="19">
        <f t="shared" si="4"/>
        <v>0</v>
      </c>
      <c r="Q27" s="19">
        <f t="shared" si="5"/>
        <v>0</v>
      </c>
      <c r="R27" s="19">
        <f t="shared" si="6"/>
        <v>0</v>
      </c>
      <c r="S27" s="19">
        <f t="shared" si="7"/>
        <v>0</v>
      </c>
      <c r="T27" s="20"/>
      <c r="U27" s="20"/>
      <c r="V27" s="20"/>
      <c r="W27" s="20"/>
      <c r="X27" s="19">
        <f t="shared" si="8"/>
        <v>45767.05</v>
      </c>
      <c r="Y27" s="19">
        <f t="shared" si="9"/>
        <v>19038.2</v>
      </c>
      <c r="Z27" s="19">
        <f t="shared" si="10"/>
        <v>0</v>
      </c>
      <c r="AA27" s="19">
        <f t="shared" si="11"/>
        <v>0</v>
      </c>
      <c r="AB27" s="2"/>
      <c r="AC27" s="2"/>
    </row>
    <row r="28" spans="1:29" x14ac:dyDescent="0.25">
      <c r="A28" s="2"/>
      <c r="B28" s="13" t="s">
        <v>38</v>
      </c>
      <c r="C28" s="14" t="s">
        <v>39</v>
      </c>
      <c r="D28" s="15">
        <v>660</v>
      </c>
      <c r="E28" s="15">
        <v>789</v>
      </c>
      <c r="F28" s="15">
        <v>1042</v>
      </c>
      <c r="G28" s="15">
        <v>438</v>
      </c>
      <c r="H28" s="17">
        <f t="shared" si="0"/>
        <v>42.472196969696974</v>
      </c>
      <c r="I28" s="17">
        <f t="shared" si="1"/>
        <v>36.489049429657797</v>
      </c>
      <c r="J28" s="17">
        <f t="shared" si="2"/>
        <v>33.565633397312858</v>
      </c>
      <c r="K28" s="17">
        <f t="shared" si="3"/>
        <v>35.968242009132418</v>
      </c>
      <c r="L28" s="18">
        <v>28031.65</v>
      </c>
      <c r="M28" s="18">
        <v>28789.86</v>
      </c>
      <c r="N28" s="18">
        <v>34975.39</v>
      </c>
      <c r="O28" s="18">
        <v>15754.09</v>
      </c>
      <c r="P28" s="19">
        <f t="shared" si="4"/>
        <v>0</v>
      </c>
      <c r="Q28" s="19">
        <f t="shared" si="5"/>
        <v>0</v>
      </c>
      <c r="R28" s="19">
        <f t="shared" si="6"/>
        <v>0</v>
      </c>
      <c r="S28" s="19">
        <f t="shared" si="7"/>
        <v>0</v>
      </c>
      <c r="T28" s="20"/>
      <c r="U28" s="20"/>
      <c r="V28" s="20"/>
      <c r="W28" s="20"/>
      <c r="X28" s="19">
        <f t="shared" si="8"/>
        <v>28031.65</v>
      </c>
      <c r="Y28" s="19">
        <f t="shared" si="9"/>
        <v>28789.86</v>
      </c>
      <c r="Z28" s="19">
        <f t="shared" si="10"/>
        <v>34975.39</v>
      </c>
      <c r="AA28" s="19">
        <f t="shared" si="11"/>
        <v>15754.09</v>
      </c>
      <c r="AB28" s="2"/>
      <c r="AC28" s="2"/>
    </row>
    <row r="29" spans="1:29" x14ac:dyDescent="0.25">
      <c r="A29" s="2"/>
      <c r="B29" s="13" t="s">
        <v>40</v>
      </c>
      <c r="C29" s="14" t="s">
        <v>41</v>
      </c>
      <c r="D29" s="15">
        <v>63</v>
      </c>
      <c r="E29" s="15">
        <v>110</v>
      </c>
      <c r="F29" s="15">
        <v>111</v>
      </c>
      <c r="G29" s="15">
        <v>80</v>
      </c>
      <c r="H29" s="17">
        <f t="shared" si="0"/>
        <v>60.566825396825401</v>
      </c>
      <c r="I29" s="17">
        <f t="shared" si="1"/>
        <v>51.31936363636364</v>
      </c>
      <c r="J29" s="17">
        <f t="shared" si="2"/>
        <v>74.939189189189193</v>
      </c>
      <c r="K29" s="17">
        <f t="shared" si="3"/>
        <v>75.69874999999999</v>
      </c>
      <c r="L29" s="18">
        <v>3815.71</v>
      </c>
      <c r="M29" s="18">
        <v>5645.13</v>
      </c>
      <c r="N29" s="18">
        <v>8318.25</v>
      </c>
      <c r="O29" s="18">
        <v>6055.9</v>
      </c>
      <c r="P29" s="19">
        <f t="shared" si="4"/>
        <v>0</v>
      </c>
      <c r="Q29" s="19">
        <f t="shared" si="5"/>
        <v>0</v>
      </c>
      <c r="R29" s="19">
        <f t="shared" si="6"/>
        <v>0</v>
      </c>
      <c r="S29" s="19">
        <f t="shared" si="7"/>
        <v>0</v>
      </c>
      <c r="T29" s="20"/>
      <c r="U29" s="20"/>
      <c r="V29" s="20"/>
      <c r="W29" s="20"/>
      <c r="X29" s="19">
        <f t="shared" si="8"/>
        <v>3815.71</v>
      </c>
      <c r="Y29" s="19">
        <f t="shared" si="9"/>
        <v>5645.13</v>
      </c>
      <c r="Z29" s="19">
        <f t="shared" si="10"/>
        <v>8318.25</v>
      </c>
      <c r="AA29" s="19">
        <f t="shared" si="11"/>
        <v>6055.9</v>
      </c>
      <c r="AB29" s="2"/>
      <c r="AC29" s="2"/>
    </row>
    <row r="30" spans="1:29" x14ac:dyDescent="0.25">
      <c r="A30" s="2"/>
      <c r="B30" s="13" t="s">
        <v>42</v>
      </c>
      <c r="C30" s="14" t="s">
        <v>43</v>
      </c>
      <c r="D30" s="15">
        <v>11</v>
      </c>
      <c r="E30" s="15">
        <v>6</v>
      </c>
      <c r="F30" s="15"/>
      <c r="G30" s="15"/>
      <c r="H30" s="17">
        <f t="shared" si="0"/>
        <v>28.181818181818183</v>
      </c>
      <c r="I30" s="17">
        <f t="shared" si="1"/>
        <v>45</v>
      </c>
      <c r="J30" s="17">
        <f t="shared" si="2"/>
        <v>0</v>
      </c>
      <c r="K30" s="17">
        <f t="shared" si="3"/>
        <v>0</v>
      </c>
      <c r="L30" s="18">
        <v>310</v>
      </c>
      <c r="M30" s="18">
        <v>270</v>
      </c>
      <c r="N30" s="18"/>
      <c r="O30" s="18"/>
      <c r="P30" s="19">
        <f t="shared" si="4"/>
        <v>0</v>
      </c>
      <c r="Q30" s="19">
        <f t="shared" si="5"/>
        <v>0</v>
      </c>
      <c r="R30" s="19">
        <f t="shared" si="6"/>
        <v>0</v>
      </c>
      <c r="S30" s="19">
        <f t="shared" si="7"/>
        <v>0</v>
      </c>
      <c r="T30" s="20"/>
      <c r="U30" s="20"/>
      <c r="V30" s="20"/>
      <c r="W30" s="20"/>
      <c r="X30" s="19">
        <f t="shared" si="8"/>
        <v>310</v>
      </c>
      <c r="Y30" s="19">
        <f t="shared" si="9"/>
        <v>270</v>
      </c>
      <c r="Z30" s="19">
        <f t="shared" si="10"/>
        <v>0</v>
      </c>
      <c r="AA30" s="19">
        <f t="shared" si="11"/>
        <v>0</v>
      </c>
      <c r="AB30" s="2"/>
      <c r="AC30" s="2"/>
    </row>
    <row r="31" spans="1:29" x14ac:dyDescent="0.25">
      <c r="A31" s="2"/>
      <c r="B31" s="13" t="s">
        <v>44</v>
      </c>
      <c r="C31" s="14" t="s">
        <v>29</v>
      </c>
      <c r="D31" s="16"/>
      <c r="E31" s="16"/>
      <c r="F31" s="16"/>
      <c r="G31" s="16"/>
      <c r="H31" s="17">
        <f t="shared" si="0"/>
        <v>0</v>
      </c>
      <c r="I31" s="17">
        <f t="shared" si="1"/>
        <v>0</v>
      </c>
      <c r="J31" s="17">
        <f t="shared" si="2"/>
        <v>0</v>
      </c>
      <c r="K31" s="17">
        <f t="shared" si="3"/>
        <v>0</v>
      </c>
      <c r="L31" s="18"/>
      <c r="M31" s="18"/>
      <c r="N31" s="18">
        <v>340</v>
      </c>
      <c r="O31" s="18"/>
      <c r="P31" s="19">
        <f t="shared" si="4"/>
        <v>0</v>
      </c>
      <c r="Q31" s="19">
        <f t="shared" si="5"/>
        <v>0</v>
      </c>
      <c r="R31" s="19">
        <f t="shared" si="6"/>
        <v>0</v>
      </c>
      <c r="S31" s="19">
        <f t="shared" si="7"/>
        <v>0</v>
      </c>
      <c r="T31" s="20"/>
      <c r="U31" s="20"/>
      <c r="V31" s="20"/>
      <c r="W31" s="20"/>
      <c r="X31" s="19">
        <f t="shared" si="8"/>
        <v>0</v>
      </c>
      <c r="Y31" s="19">
        <f t="shared" si="9"/>
        <v>0</v>
      </c>
      <c r="Z31" s="19">
        <f t="shared" si="10"/>
        <v>340</v>
      </c>
      <c r="AA31" s="19">
        <f t="shared" si="11"/>
        <v>0</v>
      </c>
      <c r="AB31" s="2"/>
      <c r="AC31" s="2"/>
    </row>
    <row r="32" spans="1:29" x14ac:dyDescent="0.25">
      <c r="A32" s="2"/>
      <c r="B32" s="21" t="s">
        <v>45</v>
      </c>
      <c r="C32" s="22" t="s">
        <v>29</v>
      </c>
      <c r="D32" s="16"/>
      <c r="E32" s="16"/>
      <c r="F32" s="16"/>
      <c r="G32" s="16"/>
      <c r="H32" s="17">
        <f t="shared" si="0"/>
        <v>0</v>
      </c>
      <c r="I32" s="17">
        <f t="shared" si="1"/>
        <v>0</v>
      </c>
      <c r="J32" s="17">
        <f t="shared" si="2"/>
        <v>0</v>
      </c>
      <c r="K32" s="17">
        <f t="shared" si="3"/>
        <v>0</v>
      </c>
      <c r="L32" s="18"/>
      <c r="M32" s="18"/>
      <c r="N32" s="18">
        <v>17.8</v>
      </c>
      <c r="O32" s="18"/>
      <c r="P32" s="19">
        <f t="shared" si="4"/>
        <v>0</v>
      </c>
      <c r="Q32" s="19">
        <f t="shared" si="5"/>
        <v>0</v>
      </c>
      <c r="R32" s="19">
        <f t="shared" si="6"/>
        <v>0</v>
      </c>
      <c r="S32" s="19">
        <f t="shared" si="7"/>
        <v>0</v>
      </c>
      <c r="T32" s="20"/>
      <c r="U32" s="20"/>
      <c r="V32" s="20"/>
      <c r="W32" s="20"/>
      <c r="X32" s="19">
        <f t="shared" si="8"/>
        <v>0</v>
      </c>
      <c r="Y32" s="19">
        <f t="shared" si="9"/>
        <v>0</v>
      </c>
      <c r="Z32" s="19">
        <f t="shared" si="10"/>
        <v>17.8</v>
      </c>
      <c r="AA32" s="19">
        <f t="shared" si="11"/>
        <v>0</v>
      </c>
      <c r="AB32" s="2"/>
      <c r="AC32" s="2"/>
    </row>
    <row r="33" spans="1:29" x14ac:dyDescent="0.25">
      <c r="A33" s="2"/>
      <c r="B33" s="21" t="s">
        <v>46</v>
      </c>
      <c r="C33" s="22" t="s">
        <v>29</v>
      </c>
      <c r="D33" s="16"/>
      <c r="E33" s="16"/>
      <c r="F33" s="16"/>
      <c r="G33" s="16"/>
      <c r="H33" s="17">
        <f t="shared" si="0"/>
        <v>0</v>
      </c>
      <c r="I33" s="17">
        <f t="shared" si="1"/>
        <v>0</v>
      </c>
      <c r="J33" s="17">
        <f t="shared" si="2"/>
        <v>0</v>
      </c>
      <c r="K33" s="17">
        <f t="shared" si="3"/>
        <v>0</v>
      </c>
      <c r="L33" s="18">
        <v>172</v>
      </c>
      <c r="M33" s="18">
        <v>-100</v>
      </c>
      <c r="N33" s="18">
        <v>11920.58</v>
      </c>
      <c r="O33" s="18">
        <v>12817.63</v>
      </c>
      <c r="P33" s="19">
        <f t="shared" si="4"/>
        <v>0</v>
      </c>
      <c r="Q33" s="19">
        <f t="shared" si="5"/>
        <v>0</v>
      </c>
      <c r="R33" s="19">
        <f t="shared" si="6"/>
        <v>0</v>
      </c>
      <c r="S33" s="19">
        <f t="shared" si="7"/>
        <v>0</v>
      </c>
      <c r="T33" s="20"/>
      <c r="U33" s="20"/>
      <c r="V33" s="20"/>
      <c r="W33" s="20"/>
      <c r="X33" s="19">
        <f t="shared" si="8"/>
        <v>172</v>
      </c>
      <c r="Y33" s="19">
        <f t="shared" si="9"/>
        <v>-100</v>
      </c>
      <c r="Z33" s="19">
        <f t="shared" si="10"/>
        <v>11920.58</v>
      </c>
      <c r="AA33" s="19">
        <f t="shared" si="11"/>
        <v>12817.63</v>
      </c>
      <c r="AB33" s="2"/>
      <c r="AC33" s="2"/>
    </row>
    <row r="34" spans="1:29" x14ac:dyDescent="0.25">
      <c r="A34" s="2"/>
      <c r="B34" s="24" t="s">
        <v>47</v>
      </c>
      <c r="C34" s="25" t="s">
        <v>29</v>
      </c>
      <c r="D34" s="16"/>
      <c r="E34" s="16"/>
      <c r="F34" s="16"/>
      <c r="G34" s="16"/>
      <c r="H34" s="17">
        <f t="shared" si="0"/>
        <v>0</v>
      </c>
      <c r="I34" s="17">
        <f t="shared" si="1"/>
        <v>0</v>
      </c>
      <c r="J34" s="17">
        <f t="shared" si="2"/>
        <v>0</v>
      </c>
      <c r="K34" s="17">
        <f t="shared" si="3"/>
        <v>0</v>
      </c>
      <c r="L34" s="18">
        <v>2660.1</v>
      </c>
      <c r="M34" s="18">
        <v>10226.82</v>
      </c>
      <c r="N34" s="18">
        <v>3824.77</v>
      </c>
      <c r="O34" s="18">
        <v>1998.03</v>
      </c>
      <c r="P34" s="19">
        <f t="shared" si="4"/>
        <v>0</v>
      </c>
      <c r="Q34" s="19">
        <f t="shared" si="5"/>
        <v>0</v>
      </c>
      <c r="R34" s="19">
        <f t="shared" si="6"/>
        <v>0</v>
      </c>
      <c r="S34" s="19">
        <f t="shared" si="7"/>
        <v>0</v>
      </c>
      <c r="T34" s="20"/>
      <c r="U34" s="20"/>
      <c r="V34" s="20"/>
      <c r="W34" s="20"/>
      <c r="X34" s="19">
        <f t="shared" si="8"/>
        <v>2660.1</v>
      </c>
      <c r="Y34" s="19">
        <f t="shared" si="9"/>
        <v>10226.82</v>
      </c>
      <c r="Z34" s="19">
        <f t="shared" si="10"/>
        <v>3824.77</v>
      </c>
      <c r="AA34" s="19">
        <f t="shared" si="11"/>
        <v>1998.03</v>
      </c>
      <c r="AB34" s="2"/>
      <c r="AC34" s="2"/>
    </row>
    <row r="35" spans="1:29" x14ac:dyDescent="0.25">
      <c r="A35" s="2"/>
      <c r="B35" s="26" t="s">
        <v>48</v>
      </c>
      <c r="C35" s="27"/>
      <c r="D35" s="28" t="s">
        <v>49</v>
      </c>
      <c r="E35" s="28" t="s">
        <v>49</v>
      </c>
      <c r="F35" s="28" t="s">
        <v>49</v>
      </c>
      <c r="G35" s="28" t="s">
        <v>49</v>
      </c>
      <c r="H35" s="2"/>
      <c r="I35" s="2"/>
      <c r="J35" s="2"/>
      <c r="K35" s="2"/>
      <c r="L35" s="29">
        <f t="shared" ref="L35:S35" si="12">SUM(L17:L34)</f>
        <v>1996290.52</v>
      </c>
      <c r="M35" s="29">
        <f t="shared" si="12"/>
        <v>2297353.8099999996</v>
      </c>
      <c r="N35" s="29">
        <f t="shared" si="12"/>
        <v>2241034.37</v>
      </c>
      <c r="O35" s="29">
        <f t="shared" si="12"/>
        <v>1126223.32</v>
      </c>
      <c r="P35" s="29">
        <f t="shared" si="12"/>
        <v>0</v>
      </c>
      <c r="Q35" s="29">
        <f t="shared" si="12"/>
        <v>0</v>
      </c>
      <c r="R35" s="29">
        <f t="shared" si="12"/>
        <v>0</v>
      </c>
      <c r="S35" s="29">
        <f t="shared" si="12"/>
        <v>0</v>
      </c>
      <c r="T35" s="30">
        <f>IFERROR(P35/L35,0)</f>
        <v>0</v>
      </c>
      <c r="U35" s="30">
        <f>IFERROR(Q35/M35,0)</f>
        <v>0</v>
      </c>
      <c r="V35" s="30">
        <f>IFERROR(R35/N35,0)</f>
        <v>0</v>
      </c>
      <c r="W35" s="30">
        <f>IFERROR(S35/O35,0)</f>
        <v>0</v>
      </c>
      <c r="X35" s="29">
        <f>SUM(X17:X34)</f>
        <v>1996290.52</v>
      </c>
      <c r="Y35" s="29">
        <f>SUM(Y17:Y34)</f>
        <v>2297353.8099999996</v>
      </c>
      <c r="Z35" s="29">
        <f>SUM(Z17:Z34)</f>
        <v>2241034.37</v>
      </c>
      <c r="AA35" s="29">
        <f>SUM(AA17:AA34)</f>
        <v>1126223.32</v>
      </c>
      <c r="AB35" s="2"/>
      <c r="AC35" s="2"/>
    </row>
    <row r="36" spans="1:29" x14ac:dyDescent="0.25">
      <c r="A36" s="2"/>
      <c r="B36" s="31" t="s">
        <v>50</v>
      </c>
      <c r="C36" s="32" t="s">
        <v>23</v>
      </c>
      <c r="D36" s="33">
        <f>D17+D18+D19+D20+D21+D23+D24</f>
        <v>5684</v>
      </c>
      <c r="E36" s="33">
        <f>E17+E18+E19+E20+E21+E23+E24</f>
        <v>6199</v>
      </c>
      <c r="F36" s="33">
        <f>F17+F18+F19+F20+F21+F23+F24</f>
        <v>6341</v>
      </c>
      <c r="G36" s="33">
        <f>G17+G18+G19+G20+G21+G23+G24</f>
        <v>0</v>
      </c>
      <c r="H36" s="34">
        <f>IFERROR(L36/D36,0)</f>
        <v>317.64119634060523</v>
      </c>
      <c r="I36" s="34">
        <f>IFERROR(M36/E36,0)</f>
        <v>342.19592998870792</v>
      </c>
      <c r="J36" s="34">
        <f>IFERROR(N36/F36,0)</f>
        <v>328.69091783630341</v>
      </c>
      <c r="K36" s="34">
        <f>IFERROR(O36/G36,0)</f>
        <v>0</v>
      </c>
      <c r="L36" s="35">
        <f>L17+L18+L19+L20+L21+L23+L24</f>
        <v>1805472.56</v>
      </c>
      <c r="M36" s="35">
        <f>M17+M18+M19+M20+M21+M23+M24</f>
        <v>2121272.5700000003</v>
      </c>
      <c r="N36" s="35">
        <f>N17+N18+N19+N20+N21+N23+N24</f>
        <v>2084229.1099999999</v>
      </c>
      <c r="O36" s="35">
        <f>O17+O18+O19+O20+O21+O23+O24</f>
        <v>1037598.3700000001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25">
      <c r="A38" s="2"/>
      <c r="B38" s="36" t="s">
        <v>51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25">
      <c r="A39" s="2"/>
      <c r="B39" s="37" t="s">
        <v>52</v>
      </c>
      <c r="C39" s="2"/>
      <c r="D39" s="2"/>
      <c r="E39" s="2"/>
      <c r="F39" s="2"/>
      <c r="G39" s="2"/>
      <c r="H39" s="2"/>
      <c r="I39" s="2"/>
      <c r="J39" s="2"/>
      <c r="K39" s="2"/>
      <c r="L39" s="10">
        <v>1996290.52</v>
      </c>
      <c r="M39" s="10">
        <v>2297353.81</v>
      </c>
      <c r="N39" s="10">
        <v>2241034.37</v>
      </c>
      <c r="O39" s="10">
        <v>1126223.32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x14ac:dyDescent="0.25">
      <c r="A40" s="2"/>
      <c r="B40" s="37" t="s">
        <v>53</v>
      </c>
      <c r="C40" s="2"/>
      <c r="D40" s="2"/>
      <c r="E40" s="2"/>
      <c r="F40" s="2"/>
      <c r="G40" s="2"/>
      <c r="H40" s="2"/>
      <c r="I40" s="2"/>
      <c r="J40" s="2"/>
      <c r="K40" s="2"/>
      <c r="L40" s="10">
        <f>L35-L39</f>
        <v>0</v>
      </c>
      <c r="M40" s="10">
        <f>M35-M39</f>
        <v>0</v>
      </c>
      <c r="N40" s="10">
        <f>N35-N39</f>
        <v>0</v>
      </c>
      <c r="O40" s="10">
        <f>O35-O39</f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25">
      <c r="A42" s="2"/>
      <c r="B42" s="36" t="s">
        <v>54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25">
      <c r="A43" s="2"/>
      <c r="B43" s="2" t="s">
        <v>55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25">
      <c r="A44" s="2"/>
      <c r="B44" s="2" t="s">
        <v>56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25">
      <c r="A46" s="2"/>
      <c r="B46" s="38" t="s">
        <v>57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25">
      <c r="A47" s="2"/>
      <c r="B47" s="2" t="s">
        <v>58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25">
      <c r="A49" s="2"/>
      <c r="B49" s="38" t="s">
        <v>59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2"/>
      <c r="B50" s="2" t="s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x14ac:dyDescent="0.25">
      <c r="A52" s="2"/>
      <c r="B52" s="2" t="s">
        <v>61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25">
      <c r="A53" s="2"/>
      <c r="B53" s="2" t="s">
        <v>62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25">
      <c r="A55" s="2"/>
      <c r="B55" s="39" t="s">
        <v>63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</sheetData>
  <mergeCells count="8">
    <mergeCell ref="P15:S15"/>
    <mergeCell ref="T15:W15"/>
    <mergeCell ref="X15:AA15"/>
    <mergeCell ref="B15:B16"/>
    <mergeCell ref="C15:C16"/>
    <mergeCell ref="D15:G15"/>
    <mergeCell ref="H15:K15"/>
    <mergeCell ref="L15:O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8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4" customWidth="1"/>
    <col min="3" max="11" width="12" customWidth="1"/>
    <col min="12" max="12" width="60" customWidth="1"/>
  </cols>
  <sheetData>
    <row r="1" spans="1:12" ht="19.5" x14ac:dyDescent="0.3">
      <c r="A1" s="2"/>
      <c r="B1" s="40" t="s">
        <v>64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39" t="s">
        <v>65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6" t="s">
        <v>66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customHeight="1" x14ac:dyDescent="0.25">
      <c r="A5" s="2"/>
      <c r="B5" s="1" t="s">
        <v>67</v>
      </c>
      <c r="C5" s="1" t="s">
        <v>16</v>
      </c>
      <c r="D5" s="1" t="s">
        <v>68</v>
      </c>
      <c r="E5" s="1"/>
      <c r="F5" s="1"/>
      <c r="G5" s="1"/>
      <c r="H5" s="1" t="s">
        <v>69</v>
      </c>
      <c r="I5" s="1"/>
      <c r="J5" s="1"/>
      <c r="K5" s="1"/>
      <c r="L5" s="1" t="s">
        <v>70</v>
      </c>
    </row>
    <row r="6" spans="1:12" x14ac:dyDescent="0.25">
      <c r="A6" s="2"/>
      <c r="B6" s="1"/>
      <c r="C6" s="1"/>
      <c r="D6" s="41" t="s">
        <v>5</v>
      </c>
      <c r="E6" s="41" t="s">
        <v>6</v>
      </c>
      <c r="F6" s="41" t="s">
        <v>7</v>
      </c>
      <c r="G6" s="41" t="s">
        <v>8</v>
      </c>
      <c r="H6" s="41" t="s">
        <v>5</v>
      </c>
      <c r="I6" s="41" t="s">
        <v>6</v>
      </c>
      <c r="J6" s="41" t="s">
        <v>7</v>
      </c>
      <c r="K6" s="41" t="s">
        <v>8</v>
      </c>
      <c r="L6" s="1"/>
    </row>
    <row r="7" spans="1:12" ht="60" customHeight="1" x14ac:dyDescent="0.25">
      <c r="A7" s="2"/>
      <c r="B7" s="13" t="s">
        <v>71</v>
      </c>
      <c r="C7" s="14" t="s">
        <v>72</v>
      </c>
      <c r="D7" s="42">
        <v>64</v>
      </c>
      <c r="E7" s="42">
        <v>58</v>
      </c>
      <c r="F7" s="42">
        <v>30</v>
      </c>
      <c r="G7" s="42"/>
      <c r="H7" s="43">
        <v>8258</v>
      </c>
      <c r="I7" s="43">
        <v>8201.2000000000007</v>
      </c>
      <c r="J7" s="43">
        <v>4242</v>
      </c>
      <c r="K7" s="43"/>
      <c r="L7" s="44" t="s">
        <v>73</v>
      </c>
    </row>
    <row r="8" spans="1:12" ht="60" customHeight="1" x14ac:dyDescent="0.25">
      <c r="A8" s="2"/>
      <c r="B8" s="13" t="s">
        <v>74</v>
      </c>
      <c r="C8" s="14" t="s">
        <v>75</v>
      </c>
      <c r="D8" s="42">
        <v>25</v>
      </c>
      <c r="E8" s="42">
        <v>15</v>
      </c>
      <c r="F8" s="42">
        <v>43</v>
      </c>
      <c r="G8" s="42">
        <v>8</v>
      </c>
      <c r="H8" s="43">
        <v>2197</v>
      </c>
      <c r="I8" s="43">
        <v>640</v>
      </c>
      <c r="J8" s="43">
        <v>1620</v>
      </c>
      <c r="K8" s="43">
        <v>315</v>
      </c>
      <c r="L8" s="44" t="s">
        <v>76</v>
      </c>
    </row>
    <row r="9" spans="1:12" ht="60" customHeight="1" x14ac:dyDescent="0.25">
      <c r="A9" s="2"/>
      <c r="B9" s="13" t="s">
        <v>77</v>
      </c>
      <c r="C9" s="14" t="s">
        <v>78</v>
      </c>
      <c r="D9" s="42"/>
      <c r="E9" s="42"/>
      <c r="F9" s="42"/>
      <c r="G9" s="42">
        <v>10</v>
      </c>
      <c r="H9" s="43"/>
      <c r="I9" s="43"/>
      <c r="J9" s="43"/>
      <c r="K9" s="43">
        <v>2260.5</v>
      </c>
      <c r="L9" s="44" t="s">
        <v>79</v>
      </c>
    </row>
    <row r="10" spans="1:12" ht="60" customHeight="1" x14ac:dyDescent="0.25">
      <c r="A10" s="2"/>
      <c r="B10" s="13" t="s">
        <v>80</v>
      </c>
      <c r="C10" s="14" t="s">
        <v>81</v>
      </c>
      <c r="D10" s="42">
        <v>8</v>
      </c>
      <c r="E10" s="42">
        <v>7</v>
      </c>
      <c r="F10" s="42">
        <v>24</v>
      </c>
      <c r="G10" s="42">
        <v>46</v>
      </c>
      <c r="H10" s="43">
        <v>200</v>
      </c>
      <c r="I10" s="43">
        <v>175</v>
      </c>
      <c r="J10" s="43">
        <v>575</v>
      </c>
      <c r="K10" s="43">
        <v>1198.8399999999999</v>
      </c>
      <c r="L10" s="44" t="s">
        <v>82</v>
      </c>
    </row>
    <row r="11" spans="1:12" ht="60" customHeight="1" x14ac:dyDescent="0.25">
      <c r="A11" s="2"/>
      <c r="B11" s="13" t="s">
        <v>83</v>
      </c>
      <c r="C11" s="14" t="s">
        <v>84</v>
      </c>
      <c r="D11" s="42"/>
      <c r="E11" s="42">
        <v>33</v>
      </c>
      <c r="F11" s="42"/>
      <c r="G11" s="42"/>
      <c r="H11" s="43"/>
      <c r="I11" s="43">
        <v>825</v>
      </c>
      <c r="J11" s="43"/>
      <c r="K11" s="43"/>
      <c r="L11" s="44" t="s">
        <v>85</v>
      </c>
    </row>
    <row r="12" spans="1:12" ht="60" customHeight="1" x14ac:dyDescent="0.25">
      <c r="A12" s="2"/>
      <c r="B12" s="13" t="s">
        <v>86</v>
      </c>
      <c r="C12" s="14" t="s">
        <v>37</v>
      </c>
      <c r="D12" s="42">
        <v>112</v>
      </c>
      <c r="E12" s="42">
        <v>54</v>
      </c>
      <c r="F12" s="42"/>
      <c r="G12" s="42"/>
      <c r="H12" s="43">
        <v>27660</v>
      </c>
      <c r="I12" s="43">
        <v>13500</v>
      </c>
      <c r="J12" s="43"/>
      <c r="K12" s="43"/>
      <c r="L12" s="44" t="s">
        <v>87</v>
      </c>
    </row>
    <row r="13" spans="1:12" ht="60" customHeight="1" x14ac:dyDescent="0.25">
      <c r="A13" s="2"/>
      <c r="B13" s="13" t="s">
        <v>88</v>
      </c>
      <c r="C13" s="14" t="s">
        <v>89</v>
      </c>
      <c r="D13" s="42">
        <v>219</v>
      </c>
      <c r="E13" s="42">
        <v>138</v>
      </c>
      <c r="F13" s="42"/>
      <c r="G13" s="42"/>
      <c r="H13" s="43">
        <v>2190</v>
      </c>
      <c r="I13" s="43">
        <v>1380</v>
      </c>
      <c r="J13" s="43"/>
      <c r="K13" s="43"/>
      <c r="L13" s="44" t="s">
        <v>90</v>
      </c>
    </row>
    <row r="14" spans="1:12" ht="60" customHeight="1" x14ac:dyDescent="0.25">
      <c r="A14" s="2"/>
      <c r="B14" s="13" t="s">
        <v>91</v>
      </c>
      <c r="C14" s="14" t="s">
        <v>92</v>
      </c>
      <c r="D14" s="42">
        <v>82</v>
      </c>
      <c r="E14" s="42">
        <v>40</v>
      </c>
      <c r="F14" s="42"/>
      <c r="G14" s="42"/>
      <c r="H14" s="43">
        <v>4554</v>
      </c>
      <c r="I14" s="43">
        <v>1900</v>
      </c>
      <c r="J14" s="43"/>
      <c r="K14" s="43"/>
      <c r="L14" s="44" t="s">
        <v>93</v>
      </c>
    </row>
    <row r="15" spans="1:12" ht="60" customHeight="1" x14ac:dyDescent="0.25">
      <c r="A15" s="2"/>
      <c r="B15" s="13" t="s">
        <v>94</v>
      </c>
      <c r="C15" s="14" t="s">
        <v>39</v>
      </c>
      <c r="D15" s="45"/>
      <c r="E15" s="45"/>
      <c r="F15" s="45"/>
      <c r="G15" s="45"/>
      <c r="H15" s="43">
        <v>11214.5</v>
      </c>
      <c r="I15" s="43">
        <v>13468.87</v>
      </c>
      <c r="J15" s="43">
        <v>5329.2</v>
      </c>
      <c r="K15" s="43">
        <v>1480.41</v>
      </c>
      <c r="L15" s="44" t="s">
        <v>95</v>
      </c>
    </row>
    <row r="16" spans="1:12" ht="60" customHeight="1" x14ac:dyDescent="0.25">
      <c r="A16" s="2"/>
      <c r="B16" s="13" t="s">
        <v>96</v>
      </c>
      <c r="C16" s="14" t="s">
        <v>39</v>
      </c>
      <c r="D16" s="42">
        <v>660</v>
      </c>
      <c r="E16" s="42">
        <v>789</v>
      </c>
      <c r="F16" s="42">
        <v>1042</v>
      </c>
      <c r="G16" s="42">
        <v>438</v>
      </c>
      <c r="H16" s="43">
        <v>23534.65</v>
      </c>
      <c r="I16" s="43">
        <v>27837.17</v>
      </c>
      <c r="J16" s="43">
        <v>36037.480000000003</v>
      </c>
      <c r="K16" s="43">
        <v>15795.63</v>
      </c>
      <c r="L16" s="44" t="s">
        <v>97</v>
      </c>
    </row>
    <row r="17" spans="1:12" ht="60" customHeight="1" x14ac:dyDescent="0.25">
      <c r="A17" s="2"/>
      <c r="B17" s="13" t="s">
        <v>98</v>
      </c>
      <c r="C17" s="14" t="s">
        <v>39</v>
      </c>
      <c r="D17" s="42">
        <v>503</v>
      </c>
      <c r="E17" s="42">
        <v>527</v>
      </c>
      <c r="F17" s="42">
        <v>607</v>
      </c>
      <c r="G17" s="42">
        <v>266</v>
      </c>
      <c r="H17" s="43">
        <v>19166.3</v>
      </c>
      <c r="I17" s="43">
        <v>20830.169999999998</v>
      </c>
      <c r="J17" s="43">
        <v>26289.3</v>
      </c>
      <c r="K17" s="43">
        <v>10502.72</v>
      </c>
      <c r="L17" s="44" t="s">
        <v>99</v>
      </c>
    </row>
    <row r="18" spans="1:12" ht="60" customHeight="1" x14ac:dyDescent="0.25">
      <c r="A18" s="2"/>
      <c r="B18" s="13" t="s">
        <v>100</v>
      </c>
      <c r="C18" s="14" t="s">
        <v>35</v>
      </c>
      <c r="D18" s="42">
        <v>813</v>
      </c>
      <c r="E18" s="42">
        <v>871</v>
      </c>
      <c r="F18" s="42">
        <v>851</v>
      </c>
      <c r="G18" s="42">
        <v>345</v>
      </c>
      <c r="H18" s="43">
        <v>36225</v>
      </c>
      <c r="I18" s="43">
        <v>39105</v>
      </c>
      <c r="J18" s="43">
        <v>37980</v>
      </c>
      <c r="K18" s="43">
        <v>15525</v>
      </c>
      <c r="L18" s="44" t="s">
        <v>101</v>
      </c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46" t="s">
        <v>102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 t="s">
        <v>103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 t="s">
        <v>105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38" t="s">
        <v>106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 t="s">
        <v>107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 t="s">
        <v>108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 t="s">
        <v>109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5" t="s">
        <v>110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</sheetData>
  <mergeCells count="5">
    <mergeCell ref="B5:B6"/>
    <mergeCell ref="C5:C6"/>
    <mergeCell ref="D5:G5"/>
    <mergeCell ref="H5:K5"/>
    <mergeCell ref="L5:L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8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6" customWidth="1"/>
    <col min="3" max="3" width="12" customWidth="1"/>
    <col min="4" max="4" width="34" customWidth="1"/>
    <col min="5" max="5" width="28" customWidth="1"/>
    <col min="6" max="6" width="58" customWidth="1"/>
  </cols>
  <sheetData>
    <row r="1" spans="1:7" ht="19.5" x14ac:dyDescent="0.3">
      <c r="A1" s="2"/>
      <c r="B1" s="40" t="s">
        <v>111</v>
      </c>
      <c r="C1" s="2"/>
      <c r="D1" s="2"/>
      <c r="E1" s="2"/>
      <c r="F1" s="2"/>
      <c r="G1" s="2"/>
    </row>
    <row r="2" spans="1:7" x14ac:dyDescent="0.25">
      <c r="A2" s="2"/>
      <c r="B2" s="39" t="s">
        <v>112</v>
      </c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47" t="s">
        <v>113</v>
      </c>
      <c r="C4" s="47" t="s">
        <v>16</v>
      </c>
      <c r="D4" s="47" t="s">
        <v>114</v>
      </c>
      <c r="E4" s="47" t="s">
        <v>115</v>
      </c>
      <c r="F4" s="47" t="s">
        <v>116</v>
      </c>
      <c r="G4" s="2"/>
    </row>
    <row r="5" spans="1:7" ht="96" customHeight="1" x14ac:dyDescent="0.25">
      <c r="A5" s="2"/>
      <c r="B5" s="48" t="s">
        <v>22</v>
      </c>
      <c r="C5" s="49" t="s">
        <v>23</v>
      </c>
      <c r="D5" s="44" t="s">
        <v>117</v>
      </c>
      <c r="E5" s="44" t="s">
        <v>118</v>
      </c>
      <c r="F5" s="44" t="s">
        <v>119</v>
      </c>
      <c r="G5" s="2"/>
    </row>
    <row r="6" spans="1:7" ht="96" customHeight="1" x14ac:dyDescent="0.25">
      <c r="A6" s="2"/>
      <c r="B6" s="48" t="s">
        <v>24</v>
      </c>
      <c r="C6" s="49" t="s">
        <v>23</v>
      </c>
      <c r="D6" s="44" t="s">
        <v>120</v>
      </c>
      <c r="E6" s="44" t="s">
        <v>121</v>
      </c>
      <c r="F6" s="44" t="s">
        <v>122</v>
      </c>
      <c r="G6" s="2"/>
    </row>
    <row r="7" spans="1:7" ht="96" customHeight="1" x14ac:dyDescent="0.25">
      <c r="A7" s="2"/>
      <c r="B7" s="48" t="s">
        <v>25</v>
      </c>
      <c r="C7" s="49" t="s">
        <v>23</v>
      </c>
      <c r="D7" s="44" t="s">
        <v>123</v>
      </c>
      <c r="E7" s="44" t="s">
        <v>124</v>
      </c>
      <c r="F7" s="44" t="s">
        <v>125</v>
      </c>
      <c r="G7" s="2"/>
    </row>
    <row r="8" spans="1:7" ht="96" customHeight="1" x14ac:dyDescent="0.25">
      <c r="A8" s="2"/>
      <c r="B8" s="48" t="s">
        <v>26</v>
      </c>
      <c r="C8" s="49" t="s">
        <v>23</v>
      </c>
      <c r="D8" s="44" t="s">
        <v>126</v>
      </c>
      <c r="E8" s="44" t="s">
        <v>127</v>
      </c>
      <c r="F8" s="44" t="s">
        <v>128</v>
      </c>
      <c r="G8" s="2"/>
    </row>
    <row r="9" spans="1:7" ht="96" customHeight="1" x14ac:dyDescent="0.25">
      <c r="A9" s="2"/>
      <c r="B9" s="48" t="s">
        <v>27</v>
      </c>
      <c r="C9" s="49" t="s">
        <v>23</v>
      </c>
      <c r="D9" s="44" t="s">
        <v>129</v>
      </c>
      <c r="E9" s="44" t="s">
        <v>130</v>
      </c>
      <c r="F9" s="44" t="s">
        <v>131</v>
      </c>
      <c r="G9" s="2"/>
    </row>
    <row r="10" spans="1:7" ht="96" customHeight="1" x14ac:dyDescent="0.25">
      <c r="A10" s="2"/>
      <c r="B10" s="48" t="s">
        <v>28</v>
      </c>
      <c r="C10" s="49" t="s">
        <v>29</v>
      </c>
      <c r="D10" s="44" t="s">
        <v>132</v>
      </c>
      <c r="E10" s="44" t="s">
        <v>133</v>
      </c>
      <c r="F10" s="44" t="s">
        <v>134</v>
      </c>
      <c r="G10" s="2"/>
    </row>
    <row r="11" spans="1:7" ht="96" customHeight="1" x14ac:dyDescent="0.25">
      <c r="A11" s="2"/>
      <c r="B11" s="48" t="s">
        <v>30</v>
      </c>
      <c r="C11" s="49" t="s">
        <v>23</v>
      </c>
      <c r="D11" s="44" t="s">
        <v>135</v>
      </c>
      <c r="E11" s="44" t="s">
        <v>136</v>
      </c>
      <c r="F11" s="44" t="s">
        <v>137</v>
      </c>
      <c r="G11" s="2"/>
    </row>
    <row r="12" spans="1:7" ht="96" customHeight="1" x14ac:dyDescent="0.25">
      <c r="A12" s="2"/>
      <c r="B12" s="48" t="s">
        <v>31</v>
      </c>
      <c r="C12" s="49" t="s">
        <v>23</v>
      </c>
      <c r="D12" s="44" t="s">
        <v>138</v>
      </c>
      <c r="E12" s="44" t="s">
        <v>139</v>
      </c>
      <c r="F12" s="44" t="s">
        <v>140</v>
      </c>
      <c r="G12" s="2"/>
    </row>
    <row r="13" spans="1:7" ht="96" customHeight="1" x14ac:dyDescent="0.25">
      <c r="A13" s="2"/>
      <c r="B13" s="48" t="s">
        <v>32</v>
      </c>
      <c r="C13" s="49" t="s">
        <v>33</v>
      </c>
      <c r="D13" s="44" t="s">
        <v>141</v>
      </c>
      <c r="E13" s="44" t="s">
        <v>142</v>
      </c>
      <c r="F13" s="44" t="s">
        <v>143</v>
      </c>
      <c r="G13" s="2"/>
    </row>
    <row r="14" spans="1:7" ht="96" customHeight="1" x14ac:dyDescent="0.25">
      <c r="A14" s="2"/>
      <c r="B14" s="48" t="s">
        <v>34</v>
      </c>
      <c r="C14" s="49" t="s">
        <v>35</v>
      </c>
      <c r="D14" s="44" t="s">
        <v>144</v>
      </c>
      <c r="E14" s="44" t="s">
        <v>145</v>
      </c>
      <c r="F14" s="44" t="s">
        <v>146</v>
      </c>
      <c r="G14" s="2"/>
    </row>
    <row r="15" spans="1:7" ht="96" customHeight="1" x14ac:dyDescent="0.25">
      <c r="A15" s="2"/>
      <c r="B15" s="48" t="s">
        <v>36</v>
      </c>
      <c r="C15" s="49" t="s">
        <v>37</v>
      </c>
      <c r="D15" s="44" t="s">
        <v>147</v>
      </c>
      <c r="E15" s="44" t="s">
        <v>148</v>
      </c>
      <c r="F15" s="44" t="s">
        <v>149</v>
      </c>
      <c r="G15" s="2"/>
    </row>
    <row r="16" spans="1:7" ht="96" customHeight="1" x14ac:dyDescent="0.25">
      <c r="A16" s="2"/>
      <c r="B16" s="48" t="s">
        <v>38</v>
      </c>
      <c r="C16" s="49" t="s">
        <v>39</v>
      </c>
      <c r="D16" s="44" t="s">
        <v>150</v>
      </c>
      <c r="E16" s="44" t="s">
        <v>151</v>
      </c>
      <c r="F16" s="44" t="s">
        <v>152</v>
      </c>
      <c r="G16" s="2"/>
    </row>
    <row r="17" spans="1:7" ht="96" customHeight="1" x14ac:dyDescent="0.25">
      <c r="A17" s="2"/>
      <c r="B17" s="48" t="s">
        <v>40</v>
      </c>
      <c r="C17" s="49" t="s">
        <v>41</v>
      </c>
      <c r="D17" s="44" t="s">
        <v>153</v>
      </c>
      <c r="E17" s="44" t="s">
        <v>154</v>
      </c>
      <c r="F17" s="44" t="s">
        <v>155</v>
      </c>
      <c r="G17" s="2"/>
    </row>
    <row r="18" spans="1:7" ht="96" customHeight="1" x14ac:dyDescent="0.25">
      <c r="A18" s="2"/>
      <c r="B18" s="48" t="s">
        <v>42</v>
      </c>
      <c r="C18" s="49" t="s">
        <v>43</v>
      </c>
      <c r="D18" s="44" t="s">
        <v>156</v>
      </c>
      <c r="E18" s="44" t="s">
        <v>157</v>
      </c>
      <c r="F18" s="44" t="s">
        <v>158</v>
      </c>
      <c r="G18" s="2"/>
    </row>
    <row r="19" spans="1:7" ht="96" customHeight="1" x14ac:dyDescent="0.25">
      <c r="A19" s="2"/>
      <c r="B19" s="48" t="s">
        <v>44</v>
      </c>
      <c r="C19" s="49" t="s">
        <v>29</v>
      </c>
      <c r="D19" s="44" t="s">
        <v>159</v>
      </c>
      <c r="E19" s="44" t="s">
        <v>160</v>
      </c>
      <c r="F19" s="44" t="s">
        <v>161</v>
      </c>
      <c r="G19" s="2"/>
    </row>
    <row r="20" spans="1:7" ht="96" customHeight="1" x14ac:dyDescent="0.25">
      <c r="A20" s="2"/>
      <c r="B20" s="48" t="s">
        <v>45</v>
      </c>
      <c r="C20" s="49" t="s">
        <v>29</v>
      </c>
      <c r="D20" s="44" t="s">
        <v>162</v>
      </c>
      <c r="E20" s="44" t="s">
        <v>163</v>
      </c>
      <c r="F20" s="44" t="s">
        <v>164</v>
      </c>
      <c r="G20" s="2"/>
    </row>
    <row r="21" spans="1:7" ht="96" customHeight="1" x14ac:dyDescent="0.25">
      <c r="A21" s="2"/>
      <c r="B21" s="48" t="s">
        <v>46</v>
      </c>
      <c r="C21" s="49" t="s">
        <v>29</v>
      </c>
      <c r="D21" s="44" t="s">
        <v>165</v>
      </c>
      <c r="E21" s="44" t="s">
        <v>166</v>
      </c>
      <c r="F21" s="44" t="s">
        <v>167</v>
      </c>
      <c r="G21" s="2"/>
    </row>
    <row r="22" spans="1:7" ht="96" customHeight="1" x14ac:dyDescent="0.25">
      <c r="A22" s="2"/>
      <c r="B22" s="48" t="s">
        <v>47</v>
      </c>
      <c r="C22" s="49" t="s">
        <v>29</v>
      </c>
      <c r="D22" s="44" t="s">
        <v>168</v>
      </c>
      <c r="E22" s="44" t="s">
        <v>169</v>
      </c>
      <c r="F22" s="44" t="s">
        <v>170</v>
      </c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46" t="s">
        <v>171</v>
      </c>
      <c r="C24" s="2"/>
      <c r="D24" s="2"/>
      <c r="E24" s="2"/>
      <c r="F24" s="2"/>
      <c r="G24" s="2"/>
    </row>
    <row r="25" spans="1:7" x14ac:dyDescent="0.25">
      <c r="A25" s="2"/>
      <c r="B25" s="2" t="s">
        <v>172</v>
      </c>
      <c r="C25" s="2"/>
      <c r="D25" s="2"/>
      <c r="E25" s="2"/>
      <c r="F25" s="2"/>
      <c r="G25" s="2"/>
    </row>
    <row r="26" spans="1:7" x14ac:dyDescent="0.25">
      <c r="A26" s="2"/>
      <c r="B26" s="2" t="s">
        <v>173</v>
      </c>
      <c r="C26" s="2"/>
      <c r="D26" s="2"/>
      <c r="E26" s="2"/>
      <c r="F26" s="2"/>
      <c r="G26" s="2"/>
    </row>
    <row r="27" spans="1:7" x14ac:dyDescent="0.25">
      <c r="A27" s="2"/>
      <c r="B27" s="2" t="s">
        <v>174</v>
      </c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 t="s">
        <v>175</v>
      </c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5" t="s">
        <v>176</v>
      </c>
      <c r="C31" s="2"/>
      <c r="D31" s="2"/>
      <c r="E31" s="2"/>
      <c r="F31" s="2"/>
      <c r="G31" s="2"/>
    </row>
    <row r="32" spans="1:7" x14ac:dyDescent="0.25">
      <c r="A32" s="2"/>
      <c r="B32" s="5" t="s">
        <v>177</v>
      </c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Performance</vt:lpstr>
      <vt:lpstr>Store Detail</vt:lpstr>
      <vt:lpstr>Service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 ordinary</cp:lastModifiedBy>
  <cp:revision>0</cp:revision>
  <dcterms:created xsi:type="dcterms:W3CDTF">2026-07-28T16:23:02Z</dcterms:created>
  <dcterms:modified xsi:type="dcterms:W3CDTF">2026-07-31T14:21:37Z</dcterms:modified>
  <dc:language>en-US</dc:language>
</cp:coreProperties>
</file>